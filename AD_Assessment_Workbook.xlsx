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29" documentId="8_{ACD1459F-736F-4665-BA31-D77512AA71A4}" xr6:coauthVersionLast="47" xr6:coauthVersionMax="47" xr10:uidLastSave="{EEED2A8F-CA36-4F6A-A9D8-D4C65F018BC2}"/>
  <bookViews>
    <workbookView xWindow="-108" yWindow="-108" windowWidth="23256" windowHeight="13896" xr2:uid="{32554896-5444-4A29-B4BF-4D00E2433B4C}"/>
  </bookViews>
  <sheets>
    <sheet name="Dashboard" sheetId="2" r:id="rId1"/>
    <sheet name="Gap Analysis Matrix" sheetId="1" r:id="rId2"/>
    <sheet name="POA&amp;M" sheetId="5" r:id="rId3"/>
    <sheet name="Policy Analyzer Scan" sheetId="4" r:id="rId4"/>
  </sheets>
  <definedNames>
    <definedName name="_xlnm._FilterDatabase" localSheetId="3" hidden="1">'Policy Analyzer Scan'!$A$1:$E$365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 i="4" l="1"/>
  <c r="I2" i="4"/>
  <c r="H2" i="4"/>
  <c r="F3" i="4"/>
  <c r="G2" i="4" s="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10" i="4"/>
  <c r="F311" i="4"/>
  <c r="F312" i="4"/>
  <c r="F313" i="4"/>
  <c r="F314" i="4"/>
  <c r="F315" i="4"/>
  <c r="F316" i="4"/>
  <c r="F317" i="4"/>
  <c r="F318" i="4"/>
  <c r="F319" i="4"/>
  <c r="F321" i="4"/>
  <c r="F322" i="4"/>
  <c r="F323" i="4"/>
  <c r="F324" i="4"/>
  <c r="F325" i="4"/>
  <c r="F326" i="4"/>
  <c r="F327" i="4"/>
  <c r="F328" i="4"/>
  <c r="F329" i="4"/>
  <c r="F331" i="4"/>
  <c r="F332" i="4"/>
  <c r="F333" i="4"/>
  <c r="F336" i="4"/>
  <c r="F338" i="4"/>
  <c r="F340" i="4"/>
  <c r="F344" i="4"/>
  <c r="F345" i="4"/>
  <c r="F346" i="4"/>
  <c r="F347" i="4"/>
  <c r="F348" i="4"/>
  <c r="F349" i="4"/>
  <c r="F350" i="4"/>
  <c r="F351" i="4"/>
  <c r="F352" i="4"/>
  <c r="F353" i="4"/>
  <c r="F354" i="4"/>
  <c r="F355" i="4"/>
  <c r="F358" i="4"/>
  <c r="F359" i="4"/>
  <c r="F360" i="4"/>
  <c r="F361" i="4"/>
  <c r="F362" i="4"/>
  <c r="F363" i="4"/>
  <c r="F364" i="4"/>
  <c r="F365" i="4"/>
</calcChain>
</file>

<file path=xl/sharedStrings.xml><?xml version="1.0" encoding="utf-8"?>
<sst xmlns="http://schemas.openxmlformats.org/spreadsheetml/2006/main" count="2173" uniqueCount="695">
  <si>
    <t>Current State</t>
  </si>
  <si>
    <t>Desired State</t>
  </si>
  <si>
    <t>Risk</t>
  </si>
  <si>
    <t>Discussion</t>
  </si>
  <si>
    <t>Control Mapping</t>
  </si>
  <si>
    <t>Remediation</t>
  </si>
  <si>
    <t>Evidence/Artifact Reference</t>
  </si>
  <si>
    <t>Audit Policy</t>
  </si>
  <si>
    <t>Account Logon</t>
  </si>
  <si>
    <t>SeBackupPrivilege</t>
  </si>
  <si>
    <t>LDAPServerIntegrity</t>
  </si>
  <si>
    <t>EnablePlainTextPassword</t>
  </si>
  <si>
    <t>15</t>
  </si>
  <si>
    <t>ResetLockoutCount</t>
  </si>
  <si>
    <t>System Access</t>
  </si>
  <si>
    <t>Security Template</t>
  </si>
  <si>
    <t/>
  </si>
  <si>
    <t>0</t>
  </si>
  <si>
    <t>RequireLogonToChangePassword</t>
  </si>
  <si>
    <t>24</t>
  </si>
  <si>
    <t>PasswordHistorySize</t>
  </si>
  <si>
    <t>1</t>
  </si>
  <si>
    <t>PasswordComplexity</t>
  </si>
  <si>
    <t>14</t>
  </si>
  <si>
    <t>MinimumPasswordLength</t>
  </si>
  <si>
    <t>30</t>
  </si>
  <si>
    <t>MinimumPasswordAge</t>
  </si>
  <si>
    <t>92</t>
  </si>
  <si>
    <t>MaximumPasswordAge</t>
  </si>
  <si>
    <t>LSAAnonymousNameLookup</t>
  </si>
  <si>
    <t>***CONFLICT***</t>
  </si>
  <si>
    <t>LockoutDuration</t>
  </si>
  <si>
    <t>10</t>
  </si>
  <si>
    <t>LockoutBadCount</t>
  </si>
  <si>
    <t>ForceLogoffWhenHourExpire</t>
  </si>
  <si>
    <t>ClearTextPassword</t>
  </si>
  <si>
    <t>2,""</t>
  </si>
  <si>
    <t>"AppIDSvc"</t>
  </si>
  <si>
    <t>Service General Setting</t>
  </si>
  <si>
    <t>*S-1-5-32-544</t>
  </si>
  <si>
    <t>SeUndockPrivilege</t>
  </si>
  <si>
    <t>Privilege Rights</t>
  </si>
  <si>
    <t>SeTrustedCredManAccessPrivilege</t>
  </si>
  <si>
    <t>SeTcbPrivilege</t>
  </si>
  <si>
    <t>SeTakeOwnershipPrivilege</t>
  </si>
  <si>
    <t>*S-1-5-19,*S-1-5-32-544,*S-1-5-32-549</t>
  </si>
  <si>
    <t>SeSystemTimePrivilege</t>
  </si>
  <si>
    <t>*S-1-5-32-544,*S-1-5-80-3139157870-2983391045-3678747466-658725712-1809340420</t>
  </si>
  <si>
    <t>SeSystemProfilePrivilege</t>
  </si>
  <si>
    <t>SeSystemEnvironmentPrivilege</t>
  </si>
  <si>
    <t>*S-1-5-32-544,*S-1-5-32-549,*S-1-5-32-550,*S-1-5-32-551</t>
  </si>
  <si>
    <t>SeShutdownPrivilege</t>
  </si>
  <si>
    <t>SeSecurityPrivilege</t>
  </si>
  <si>
    <t>SeRestorePrivilege</t>
  </si>
  <si>
    <t>SeRemoteShutdownPrivilege</t>
  </si>
  <si>
    <t>SeRemoteInteractiveLogonRight</t>
  </si>
  <si>
    <t>SeProfileSingleProcessPrivilege</t>
  </si>
  <si>
    <t>SeNetworkLogonRight</t>
  </si>
  <si>
    <t>SeManageVolumePrivilege</t>
  </si>
  <si>
    <t>SeMachineAccountPrivilege</t>
  </si>
  <si>
    <t>SeLockMemoryPrivilege</t>
  </si>
  <si>
    <t>SeLoadDriverPrivilege</t>
  </si>
  <si>
    <t>SeInteractiveLogonRight</t>
  </si>
  <si>
    <t>*S-1-5-19,*S-1-5-20,*S-1-5-32-544</t>
  </si>
  <si>
    <t>SeIncreaseQuotaPrivilege</t>
  </si>
  <si>
    <t>*S-1-5-32-544,*S-1-5-90-0</t>
  </si>
  <si>
    <t>SeIncreaseBasePriorityPrivilege</t>
  </si>
  <si>
    <t>*S-1-5-19,*S-1-5-20,*S-1-5-32-544,*S-1-5-6</t>
  </si>
  <si>
    <t>SeImpersonatePrivilege</t>
  </si>
  <si>
    <t>SeEnableDelegationPrivilege</t>
  </si>
  <si>
    <t>*S-1-5-113</t>
  </si>
  <si>
    <t>SeDenyRemoteInteractiveLogonRight</t>
  </si>
  <si>
    <t>*S-1-5-114</t>
  </si>
  <si>
    <t>SeDenyNetworkLogonRight</t>
  </si>
  <si>
    <t>SeDebugPrivilege</t>
  </si>
  <si>
    <t>SeCreateTokenPrivilege</t>
  </si>
  <si>
    <t>SeCreatePermanentPrivilege</t>
  </si>
  <si>
    <t>SeCreatePagefilePrivilege</t>
  </si>
  <si>
    <t>SeCreateGlobalPrivilege</t>
  </si>
  <si>
    <t>*S-1-1-0,*S-1-5-11,*S-1-5-19,*S-1-5-20,*S-1-5-32-544,*S-1-5-32-554</t>
  </si>
  <si>
    <t>SeChangeNotifyPrivilege</t>
  </si>
  <si>
    <t>*S-1-5-32-544,*S-1-5-32-551,*S-1-5-32-559</t>
  </si>
  <si>
    <t>SeBatchLogonRight</t>
  </si>
  <si>
    <t>*S-1-5-19,*S-1-5-20</t>
  </si>
  <si>
    <t>SeAuditPrivilege</t>
  </si>
  <si>
    <t>SeAssignPrimaryTokenPrivilege</t>
  </si>
  <si>
    <t>TicketValidateClient</t>
  </si>
  <si>
    <t>Kerberos Policy</t>
  </si>
  <si>
    <t>MaxTicketAge</t>
  </si>
  <si>
    <t>600</t>
  </si>
  <si>
    <t>MaxServiceAge</t>
  </si>
  <si>
    <t>7</t>
  </si>
  <si>
    <t>MaxRenewAge</t>
  </si>
  <si>
    <t>5</t>
  </si>
  <si>
    <t>MaxClockSkew</t>
  </si>
  <si>
    <t>2</t>
  </si>
  <si>
    <t>DisableIPSourceRouting</t>
  </si>
  <si>
    <t>SYSTEM\CurrentControlSet\Services\Tcpip6\Parameters</t>
  </si>
  <si>
    <t>HKLM</t>
  </si>
  <si>
    <t>EnableICMPRedirect</t>
  </si>
  <si>
    <t>SYSTEM\CurrentControlSet\Services\Tcpip\Parameters</t>
  </si>
  <si>
    <t>System\CurrentControlSet\Services\NTDS\Parameters</t>
  </si>
  <si>
    <t>LdapEnforceChannelBinding</t>
  </si>
  <si>
    <t>signsecurechannel</t>
  </si>
  <si>
    <t>System\CurrentControlSet\Services\Netlogon\Parameters</t>
  </si>
  <si>
    <t>sealsecurechannel</t>
  </si>
  <si>
    <t>requirestrongkey</t>
  </si>
  <si>
    <t>requiresignorseal</t>
  </si>
  <si>
    <t>NoNameReleaseOnDemand</t>
  </si>
  <si>
    <t>SYSTEM\CurrentControlSet\Services\Netbt\Parameters</t>
  </si>
  <si>
    <t>NodeType</t>
  </si>
  <si>
    <t>4</t>
  </si>
  <si>
    <t>Start</t>
  </si>
  <si>
    <t>SYSTEM\CurrentControlSet\Services\MrxSmb10</t>
  </si>
  <si>
    <t>LDAPClientIntegrity</t>
  </si>
  <si>
    <t>System\CurrentControlSet\Services\LDAP</t>
  </si>
  <si>
    <t>RequireSecuritySignature</t>
  </si>
  <si>
    <t>System\CurrentControlSet\Services\LanmanWorkstation\Parameters</t>
  </si>
  <si>
    <t>SMB1</t>
  </si>
  <si>
    <t>SYSTEM\CurrentControlSet\Services\LanmanServer\Parameters</t>
  </si>
  <si>
    <t>RestrictNullSessAccess</t>
  </si>
  <si>
    <t>requiresecuritysignature</t>
  </si>
  <si>
    <t>EnableSecuritySignature</t>
  </si>
  <si>
    <t>3</t>
  </si>
  <si>
    <t>DriverLoadPolicy</t>
  </si>
  <si>
    <t>SYSTEM\CurrentControlSet\Policies\EarlyLaunch</t>
  </si>
  <si>
    <t>DisableExceptionChainValidation</t>
  </si>
  <si>
    <t>SYSTEM\CurrentControlSet\Control\Session Manager\kernel</t>
  </si>
  <si>
    <t>ProtectionMode</t>
  </si>
  <si>
    <t>System\CurrentControlSet\Control\Session Manager</t>
  </si>
  <si>
    <t>UseLogonCredential</t>
  </si>
  <si>
    <t>SYSTEM\CurrentControlSet\Control\SecurityProviders\WDigest</t>
  </si>
  <si>
    <t>RelaxMinimumPasswordLengthLimits</t>
  </si>
  <si>
    <t>System\CurrentControlSet\Control\SAM</t>
  </si>
  <si>
    <t>537395200</t>
  </si>
  <si>
    <t>NTLMMinServerSec</t>
  </si>
  <si>
    <t>System\CurrentControlSet\Control\Lsa\MSV1_0</t>
  </si>
  <si>
    <t>NTLMMinClientSec</t>
  </si>
  <si>
    <t>allownullsessionfallback</t>
  </si>
  <si>
    <t>SCENoApplyLegacyAuditPolicy</t>
  </si>
  <si>
    <t>System\CurrentControlSet\Control\Lsa</t>
  </si>
  <si>
    <t>O:BAG:BAD:(A;;RC;;;BA)</t>
  </si>
  <si>
    <t>RestrictRemoteSAM</t>
  </si>
  <si>
    <t>RestrictAnonymousSAM</t>
  </si>
  <si>
    <t>RestrictAnonymous</t>
  </si>
  <si>
    <t>NoLMHash</t>
  </si>
  <si>
    <t>LmCompatibilityLevel</t>
  </si>
  <si>
    <t>LimitBlankPasswordUse</t>
  </si>
  <si>
    <t>AllowWindowsInkWorkspace</t>
  </si>
  <si>
    <t>Software\Policies\Microsoft\WindowsInkWorkspace</t>
  </si>
  <si>
    <t>EnableFirewall</t>
  </si>
  <si>
    <t>Software\Policies\Microsoft\WindowsFirewall\PublicProfile</t>
  </si>
  <si>
    <t>DefaultOutboundAction</t>
  </si>
  <si>
    <t>DefaultInboundAction</t>
  </si>
  <si>
    <t>Software\Policies\Microsoft\WindowsFirewall\PrivateProfile</t>
  </si>
  <si>
    <t>Software\Policies\Microsoft\WindowsFirewall\DomainProfile</t>
  </si>
  <si>
    <t>538</t>
  </si>
  <si>
    <t>PolicyVersion</t>
  </si>
  <si>
    <t>Software\Policies\Microsoft\WindowsFirewall</t>
  </si>
  <si>
    <t>DisableRunAs</t>
  </si>
  <si>
    <t>Software\Policies\Microsoft\Windows\WinRM\Service</t>
  </si>
  <si>
    <t>AllowUnencryptedTraffic</t>
  </si>
  <si>
    <t>AllowBasic</t>
  </si>
  <si>
    <t>Software\Policies\Microsoft\Windows\WinRM\Client</t>
  </si>
  <si>
    <t>AllowDigest</t>
  </si>
  <si>
    <t>AllowIndexingEncryptedStoresOrItems</t>
  </si>
  <si>
    <t>Software\Policies\Microsoft\Windows\Windows Search</t>
  </si>
  <si>
    <t>Block</t>
  </si>
  <si>
    <t>ShellSmartScreenLevel</t>
  </si>
  <si>
    <t>Software\Policies\Microsoft\Windows\System</t>
  </si>
  <si>
    <t>EnumerateLocalUsers</t>
  </si>
  <si>
    <t>EnableSmartScreen</t>
  </si>
  <si>
    <t>AllowWindows</t>
  </si>
  <si>
    <t>Software\Policies\Microsoft\Windows\SrpV2\Script</t>
  </si>
  <si>
    <t>Software\Policies\Microsoft\Windows\SrpV2\Msi</t>
  </si>
  <si>
    <t>&lt;FilePathRule Id="fd686d83-a829-4351-8ff4-27c7de5755d2" Name="(Default Rule) All files" Description="Allows members of the local Administrators group to run all applications." UserOrGroupSid="S-1-5-32-544" Action="Allow"&gt;&lt;Conditions&gt;&lt;FilePathCondition Path="*"/&gt;&lt;/Conditions&gt;&lt;/FilePathRule&gt;\r\n</t>
  </si>
  <si>
    <t>Value</t>
  </si>
  <si>
    <t>Software\Policies\Microsoft\Windows\SrpV2\Exe\fd686d83-a829-4351-8ff4-27c7de5755d2</t>
  </si>
  <si>
    <t>&lt;FilePathRule Id="a61c8b2c-a319-4cd0-9690-d2177cad7b51" Name="(Default Rule) All files located in the Windows folder" Description="Allows members of the Everyone group to run applications that are located in the Windows folder." UserOrGroupSid="S-1-1-0" Action="Allow"&gt;&lt;Conditions&gt;&lt;FilePathCondition Path="%WINDIR%\*"/&gt;&lt;/Conditions&gt;&lt;/FilePathRule&gt;\r\n</t>
  </si>
  <si>
    <t>Software\Policies\Microsoft\Windows\SrpV2\Exe\a61c8b2c-a319-4cd0-9690-d2177cad7b51</t>
  </si>
  <si>
    <t>&lt;FilePathRule Id="921cc481-6e17-4653-8f75-050b80acca20" Name="(Default Rule) All files located in the Program Files folder" Description="Allows members of the Everyone group to run applications that are located in the Program Files folder." UserOrGroupSid="S-1-1-0" Action="Allow"&gt;&lt;Conditions&gt;&lt;FilePathCondition Path="%PROGRAMFILES%\*"/&gt;&lt;/Conditions&gt;&lt;/FilePathRule&gt;\r\n</t>
  </si>
  <si>
    <t>Software\Policies\Microsoft\Windows\SrpV2\Exe\921cc481-6e17-4653-8f75-050b80acca20</t>
  </si>
  <si>
    <t>&lt;FilePublisherRule Id="881d54fe-3848-4d6a-95fd-42d48ebe60b8" Name="Block Microsoft Internet Explorer" Description="" UserOrGroupSid="S-1-1-0" Action="Deny"&gt;&lt;Conditions&gt;&lt;FilePublisherCondition PublisherName="O=MICROSOFT CORPORATION, L=REDMOND, S=WASHINGTON, C=US" ProductName="INTERNET EXPLORER" BinaryName="IEXPLORE.EXE"&gt;&lt;BinaryVersionRange LowSection="*" HighSection="*"/&gt;&lt;/FilePublisherCondition&gt;&lt;/Conditions&gt;&lt;/FilePublisherRule&gt;\r\n</t>
  </si>
  <si>
    <t>Software\Policies\Microsoft\Windows\SrpV2\Exe\881d54fe-3848-4d6a-95fd-42d48ebe60b8</t>
  </si>
  <si>
    <t>&lt;FilePublisherRule Id="6676be6c-419b-41a8-8943-39715b98f77a" Name="Block Mozilla Firefox" Description="" UserOrGroupSid="S-1-1-0" Action="Deny"&gt;&lt;Conditions&gt;&lt;FilePublisherCondition PublisherName="O=MOZILLA CORPORATION, L=MOUNTAIN VIEW, S=CALIFORNIA, C=US" ProductName="FIREFOX" BinaryName="FIREFOX.EXE"&gt;&lt;BinaryVersionRange LowSection="*" HighSection="*"/&gt;&lt;/FilePublisherCondition&gt;&lt;/Conditions&gt;&lt;/FilePublisherRule&gt;\r\n</t>
  </si>
  <si>
    <t>Software\Policies\Microsoft\Windows\SrpV2\Exe\6676be6c-419b-41a8-8943-39715b98f77a</t>
  </si>
  <si>
    <t>&lt;FilePublisherRule Id="61cc3c42-eee8-438a-8c78-a80da093d621" Name="Block Microsoft Edge" Description="" UserOrGroupSid="S-1-1-0" Action="Deny"&gt;&lt;Conditions&gt;&lt;FilePublisherCondition PublisherName="O=MICROSOFT CORPORATION, L=REDMOND, S=WASHINGTON, C=US" ProductName="MICROSOFT EDGE" BinaryName="MSEDGE.EXE"&gt;&lt;BinaryVersionRange LowSection="*" HighSection="*"/&gt;&lt;/FilePublisherCondition&gt;&lt;/Conditions&gt;&lt;/FilePublisherRule&gt;\r\n</t>
  </si>
  <si>
    <t>Software\Policies\Microsoft\Windows\SrpV2\Exe\61cc3c42-eee8-438a-8c78-a80da093d621</t>
  </si>
  <si>
    <t>&lt;FilePublisherRule Id="61bd6501-5227-446f-b233-faffc7620c58" Name="Block Google Chrome" Description="" UserOrGroupSid="S-1-1-0" Action="Deny"&gt;&lt;Conditions&gt;&lt;FilePublisherCondition PublisherName="O=GOOGLE LLC, L=MOUNTAIN VIEW, S=CALIFORNIA, C=US" ProductName="GOOGLE CHROME" BinaryName="CHROME.EXE"&gt;&lt;BinaryVersionRange LowSection="*" HighSection="*"/&gt;&lt;/FilePublisherCondition&gt;&lt;/Conditions&gt;&lt;/FilePublisherRule&gt;\r\n</t>
  </si>
  <si>
    <t>Software\Policies\Microsoft\Windows\SrpV2\Exe\61bd6501-5227-446f-b233-faffc7620c58</t>
  </si>
  <si>
    <t>EnforcementMode</t>
  </si>
  <si>
    <t>Software\Policies\Microsoft\Windows\SrpV2\Exe</t>
  </si>
  <si>
    <t>Software\Policies\Microsoft\Windows\SrpV2\Dll</t>
  </si>
  <si>
    <t>&lt;FilePublisherRule Id="a9e18c21-ff8f-43cf-b9fc-db40eed693ba" Name="(Default Rule) All signed packaged apps" Description="Allows members of the Everyone group to run packaged apps that are signed." UserOrGroupSid="S-1-1-0" Action="Allow"&gt;&lt;Conditions&gt;&lt;FilePublisherCondition PublisherName="*" ProductName="*" BinaryName="*"&gt;&lt;BinaryVersionRange LowSection="0.0.0.0" HighSection="*"/&gt;&lt;/FilePublisherCondition&gt;&lt;/Conditions&gt;&lt;/FilePublisherRule&gt;\r\n</t>
  </si>
  <si>
    <t>Software\Policies\Microsoft\Windows\SrpV2\Appx\a9e18c21-ff8f-43cf-b9fc-db40eed693ba</t>
  </si>
  <si>
    <t>Software\Policies\Microsoft\Windows\SrpV2\Appx</t>
  </si>
  <si>
    <t>[[[create key]]]</t>
  </si>
  <si>
    <t>Software\Policies\Microsoft\Windows\Safer</t>
  </si>
  <si>
    <t>EnableScriptBlockLogging</t>
  </si>
  <si>
    <t>Software\Policies\Microsoft\Windows\PowerShell\ScriptBlockLogging</t>
  </si>
  <si>
    <t>[[[delete]]]</t>
  </si>
  <si>
    <t>EnableScriptBlockInvocationLogging</t>
  </si>
  <si>
    <t>NoLockScreenSlideshow</t>
  </si>
  <si>
    <t>Software\Policies\Microsoft\Windows\Personalization</t>
  </si>
  <si>
    <t>NoLockScreenCamera</t>
  </si>
  <si>
    <t>RequireIntegrity=1,RequireMutualAuthentication=1</t>
  </si>
  <si>
    <t>\\*\SYSVOL</t>
  </si>
  <si>
    <t>Software\Policies\Microsoft\Windows\NetworkProvider\HardenedPaths</t>
  </si>
  <si>
    <t>\\*\NETLOGON</t>
  </si>
  <si>
    <t>AllowInsecureGuestAuth</t>
  </si>
  <si>
    <t>Software\Policies\Microsoft\Windows\LanmanWorkstation</t>
  </si>
  <si>
    <t>DeviceEnumerationPolicy</t>
  </si>
  <si>
    <t>Software\Policies\Microsoft\Windows\Kernel DMA Protection</t>
  </si>
  <si>
    <t>EnableUserControl</t>
  </si>
  <si>
    <t>Software\Policies\Microsoft\Windows\Installer</t>
  </si>
  <si>
    <t>AlwaysInstallElevated</t>
  </si>
  <si>
    <t>NoGPOListChanges</t>
  </si>
  <si>
    <t>Software\Policies\Microsoft\Windows\Group Policy\{35378EAC-683F-11D2-A89A-00C04FBBCFA2}</t>
  </si>
  <si>
    <t>NoBackgroundPolicy</t>
  </si>
  <si>
    <t>NoAutoplayfornonVolume</t>
  </si>
  <si>
    <t>Software\Policies\Microsoft\Windows\Explorer</t>
  </si>
  <si>
    <t>32768</t>
  </si>
  <si>
    <t>MaxSize</t>
  </si>
  <si>
    <t>Software\Policies\Microsoft\Windows\EventLog\System</t>
  </si>
  <si>
    <t>196608</t>
  </si>
  <si>
    <t>Software\Policies\Microsoft\Windows\EventLog\Security</t>
  </si>
  <si>
    <t>Software\Policies\Microsoft\Windows\EventLog\Application</t>
  </si>
  <si>
    <t>RequirePlatformSecurityFeatures</t>
  </si>
  <si>
    <t>SOFTWARE\Policies\Microsoft\Windows\DeviceGuard</t>
  </si>
  <si>
    <t>LsaCfgFlags</t>
  </si>
  <si>
    <t>HypervisorEnforcedCodeIntegrity</t>
  </si>
  <si>
    <t>HVCIMATRequired</t>
  </si>
  <si>
    <t>EnableVirtualizationBasedSecurity</t>
  </si>
  <si>
    <t>ConfigureSystemGuardLaunch</t>
  </si>
  <si>
    <t>270C</t>
  </si>
  <si>
    <t>Software\Policies\Microsoft\Windows\CurrentVersion\Internet Settings\Zones\4</t>
  </si>
  <si>
    <t>2709</t>
  </si>
  <si>
    <t>2708</t>
  </si>
  <si>
    <t>2500</t>
  </si>
  <si>
    <t>2402</t>
  </si>
  <si>
    <t>2301</t>
  </si>
  <si>
    <t>2200</t>
  </si>
  <si>
    <t>2103</t>
  </si>
  <si>
    <t>2102</t>
  </si>
  <si>
    <t>2101</t>
  </si>
  <si>
    <t>2004</t>
  </si>
  <si>
    <t>2001</t>
  </si>
  <si>
    <t>2000</t>
  </si>
  <si>
    <t>1C00</t>
  </si>
  <si>
    <t>1A00</t>
  </si>
  <si>
    <t>1809</t>
  </si>
  <si>
    <t>1806</t>
  </si>
  <si>
    <t>1804</t>
  </si>
  <si>
    <t>1803</t>
  </si>
  <si>
    <t>1802</t>
  </si>
  <si>
    <t>160A</t>
  </si>
  <si>
    <t>1608</t>
  </si>
  <si>
    <t>1607</t>
  </si>
  <si>
    <t>1606</t>
  </si>
  <si>
    <t>140C</t>
  </si>
  <si>
    <t>1409</t>
  </si>
  <si>
    <t>1407</t>
  </si>
  <si>
    <t>1406</t>
  </si>
  <si>
    <t>1405</t>
  </si>
  <si>
    <t>1402</t>
  </si>
  <si>
    <t>1400</t>
  </si>
  <si>
    <t>120c</t>
  </si>
  <si>
    <t>120b</t>
  </si>
  <si>
    <t>1209</t>
  </si>
  <si>
    <t>1206</t>
  </si>
  <si>
    <t>1201</t>
  </si>
  <si>
    <t>1200</t>
  </si>
  <si>
    <t>1004</t>
  </si>
  <si>
    <t>1001</t>
  </si>
  <si>
    <t>Software\Policies\Microsoft\Windows\CurrentVersion\Internet Settings\Zones\3</t>
  </si>
  <si>
    <t>65536</t>
  </si>
  <si>
    <t>Software\Policies\Microsoft\Windows\CurrentVersion\Internet Settings\Zones\2</t>
  </si>
  <si>
    <t>Software\Policies\Microsoft\Windows\CurrentVersion\Internet Settings\Zones\1</t>
  </si>
  <si>
    <t>Software\Policies\Microsoft\Windows\CurrentVersion\Internet Settings\Zones\0</t>
  </si>
  <si>
    <t>UNCAsIntranet</t>
  </si>
  <si>
    <t>Software\Policies\Microsoft\Windows\CurrentVersion\Internet Settings\ZoneMap</t>
  </si>
  <si>
    <t>Software\Policies\Microsoft\Windows\CurrentVersion\Internet Settings\Lockdown_Zones\4</t>
  </si>
  <si>
    <t>Software\Policies\Microsoft\Windows\CurrentVersion\Internet Settings\Lockdown_Zones\3</t>
  </si>
  <si>
    <t>Software\Policies\Microsoft\Windows\CurrentVersion\Internet Settings\Lockdown_Zones\2</t>
  </si>
  <si>
    <t>Software\Policies\Microsoft\Windows\CurrentVersion\Internet Settings\Lockdown_Zones\1</t>
  </si>
  <si>
    <t>Software\Policies\Microsoft\Windows\CurrentVersion\Internet Settings\Lockdown_Zones\0</t>
  </si>
  <si>
    <t>WarnOnBadCertRecving</t>
  </si>
  <si>
    <t>Software\Policies\Microsoft\Windows\CurrentVersion\Internet Settings</t>
  </si>
  <si>
    <t>Security_zones_map_edit</t>
  </si>
  <si>
    <t>Security_options_edit</t>
  </si>
  <si>
    <t>Security_HKLM_only</t>
  </si>
  <si>
    <t>2560</t>
  </si>
  <si>
    <t>SecureProtocols</t>
  </si>
  <si>
    <t>PreventIgnoreCertErrors</t>
  </si>
  <si>
    <t>EnableSSL3Fallback</t>
  </si>
  <si>
    <t>CertificateRevocation</t>
  </si>
  <si>
    <t>AllowProtectedCreds</t>
  </si>
  <si>
    <t>Software\Policies\Microsoft\Windows\CredentialsDelegation</t>
  </si>
  <si>
    <t>OnlyUseAXISForActiveXInstall</t>
  </si>
  <si>
    <t>Software\Policies\Microsoft\Windows\AxInstaller</t>
  </si>
  <si>
    <t>MinEncryptionLevel</t>
  </si>
  <si>
    <t>Software\Policies\Microsoft\Windows NT\Terminal Services</t>
  </si>
  <si>
    <t>fPromptForPassword</t>
  </si>
  <si>
    <t>fEncryptRPCTraffic</t>
  </si>
  <si>
    <t>fDisableCdm</t>
  </si>
  <si>
    <t>DisablePasswordSaving</t>
  </si>
  <si>
    <t>RestrictRemoteClients</t>
  </si>
  <si>
    <t>Software\Policies\Microsoft\Windows NT\Rpc</t>
  </si>
  <si>
    <t>RestrictDriverInstallationToAdministrators</t>
  </si>
  <si>
    <t>Software\Policies\Microsoft\Windows NT\Printers\PointAndPrint</t>
  </si>
  <si>
    <t>EnableMulticast</t>
  </si>
  <si>
    <t>Software\Policies\Microsoft\Windows NT\DNSClient</t>
  </si>
  <si>
    <t>EnableNetworkProtection</t>
  </si>
  <si>
    <t>Software\Policies\Microsoft\Windows Defender\Windows Defender Exploit Guard\Network Protection</t>
  </si>
  <si>
    <t>e6db77e5-3df2-4cf1-b95a-636979351e5b</t>
  </si>
  <si>
    <t>Software\Policies\Microsoft\Windows Defender\Windows Defender Exploit Guard\ASR\Rules</t>
  </si>
  <si>
    <t>d4f940ab-401b-4efc-aadc-ad5f3c50688a</t>
  </si>
  <si>
    <t>d3e037e1-3eb8-44c8-a917-57927947596d</t>
  </si>
  <si>
    <t>c1db55ab-c21a-4637-bb3f-a12568109d35</t>
  </si>
  <si>
    <t>be9ba2d9-53ea-4cdc-84e5-9b1eeee46550</t>
  </si>
  <si>
    <t>b2b3f03d-6a65-4f7b-a9c7-1c7ef74a9ba4</t>
  </si>
  <si>
    <t>9e6c4e1f-7d60-472f-ba1a-a39ef669e4b2</t>
  </si>
  <si>
    <t>92E97FA1-2EDF-4476-BDD6-9DD0B4DDDC7B</t>
  </si>
  <si>
    <t>7674ba52-37eb-4a4f-a9a1-f0f9a1619a2c</t>
  </si>
  <si>
    <t>75668c1f-73b5-4cf0-bb93-3ecf5cb7cc84</t>
  </si>
  <si>
    <t>5beb7efe-fd9a-4556-801d-275e5ffc04cc</t>
  </si>
  <si>
    <t>3b576869-a4ec-4529-8536-b80a7769e899</t>
  </si>
  <si>
    <t>26190899-1602-49e8-8b27-eb1d0a1ce869</t>
  </si>
  <si>
    <t>ExploitGuard_ASR_Rules</t>
  </si>
  <si>
    <t>Software\Policies\Microsoft\Windows Defender\Windows Defender Exploit Guard\ASR</t>
  </si>
  <si>
    <t>SubmitSamplesConsent</t>
  </si>
  <si>
    <t>Software\Policies\Microsoft\Windows Defender\Spynet</t>
  </si>
  <si>
    <t>SpynetReporting</t>
  </si>
  <si>
    <t>DisableBlockAtFirstSeen</t>
  </si>
  <si>
    <t>DisableRemovableDriveScanning</t>
  </si>
  <si>
    <t>Software\Policies\Microsoft\Windows Defender\Scan</t>
  </si>
  <si>
    <t>DisableScriptScanning</t>
  </si>
  <si>
    <t>Software\Policies\Microsoft\Windows Defender\Real-Time Protection</t>
  </si>
  <si>
    <t>DisableRealtimeMonitoring</t>
  </si>
  <si>
    <t>DisableIOAVProtection</t>
  </si>
  <si>
    <t>MpCloudBlockLevel</t>
  </si>
  <si>
    <t>Software\Policies\Microsoft\Windows Defender\MpEngine</t>
  </si>
  <si>
    <t>PUAProtection</t>
  </si>
  <si>
    <t>Software\Policies\Microsoft\Windows Defender</t>
  </si>
  <si>
    <t>Software\Policies\Microsoft\SystemCertificates\EFS\CTLs</t>
  </si>
  <si>
    <t>Software\Policies\Microsoft\SystemCertificates\EFS\CRLs</t>
  </si>
  <si>
    <t>02,00,00,00,01,00,00,00,cc,00,00,00,1c,00,00,00,6c,00,00,00,01,00,00,00,00,00,00,00,00,00,00,00,00,00,00,00,01,00,00,00,33,00,63,00,32,00,65,00,39,00,37,00,36,00,34,00,2d,00,37,00,30,00,61,00,39,00,2d,00,34,00,33,00,39,00,61,00,2d,00,39,00,39,00,30,00,61,00,2d,00,65,00,31,00,65,00,36,00,36,00,65,00,34,00,33,00,39,00,64,00,64,00,38,00,00,00,00,00,00,00,00,00,4d,00,69,00,63,00,72,00,6f,00,73,00,6f,00,66,00,74,00,20,00,45,00,6e,00,68,00,61,00,6e,00,63,00,65,00,64,00,20,00,43,00,72,00,79,00,70,00,74,00,6f,00,67,00,72,00,61,00,70,00,68,00,69,00,63,00,20,00,50,00,72,00,6f,00,76,00,69,00,64,00,65,00,72,00,20,00,76,00,31,00,2e,00,30,00,00,00,00,00,03,00,00,00,01,00,00,00,14,00,00,00,01,45,13,7c,64,18,a8,33,d0,ef,65,e3,85,07,39,f2,21,a7,a3,e3,20,00,00,00,01,00,00,00,88,03,00,00,30,82,03,84,30,82,02,6c,a0,03,02,01,02,02,10,2c,ad,a1,f1,fd,c7,b9,9a,42,63,16,be,f6,39,fa,93,30,0d,06,09,2a,86,48,86,f7,0d,01,01,05,05,00,30,50,31,16,30,14,06,03,55,04,03,13,0d,41,64,6d,69,6e,69,73,74,72,61,74,6f,72,31,0c,30,0a,06,03,55,04,07,13,03,45,46,53,31,28,30,26,06,03,55,04,0b,13,1f,45,46,53,20,46,69,6c,65,20,45,6e,63,72,79,70,74,69,6f,6e,20,43,65,72,74,69,66,69,63,61,74,65,30,20,17,0d,32,36,30,37,32,35,32,32,34,30,34,36,5a,18,0f,32,31,32,36,30,37,30,31,32,32,34,30,34,36,5a,30,50,31,16,30,14,06,03,55,04,03,13,0d,41,64,6d,69,6e,69,73,74,72,61,74,6f,72,31,0c,30,0a,06,03,55,04,07,13,03,45,46,53,31,28,30,26,06,03,55,04,0b,13,1f,45,46,53,20,46,69,6c,65,20,45,6e,63,72,79,70,74,69,6f,6e,20,43,65,72,74,69,66,69,63,61,74,65,30,82,01,22,30,0d,06,09,2a,86,48,86,f7,0d,01,01,01,05,00,03,82,01,0f,00,30,82,01,0a,02,82,01,01,00,dd,d6,bb,2d,32,01,18,44,dc,cf,9c,96,09,00,6a,c3,81,98,35,7f,54,18,cc,b0,d4,31,ad,ac,83,69,86,0a,e0,ef,47,59,be,b8,d4,ee,04,40,b1,9f,0c,80,c1,b8,3a,58,a3,19,0a,d1,14,af,ab,49,66,b6,b0,c8,03,c5,7a,2e,46,67,24,50,d9,cb,85,74,e9,a8,d3,c9,94,59,17,74,9e,85,36,82,1b,85,52,92,cb,19,dc,2f,48,6b,fc,a3,b8,3e,2b,21,d3,77,71,dd,1c,fa,af,f2,5e,8f,1e,d8,94,a6,fd,31,2b,8f,70,c7,ea,53,cf,a9,15,c9,50,4b,67,65,8f,cc,f8,cf,c5,a5,74,89,c5,da,c4,c5,89,b6,22,b7,7a,cb,eb,dd,36,df,19,fe,0f,c3,ef,fe,24,6f,58,3b,72,ee,fe,b0,cc,1b,60,91,80,c0,a2,2d,e2,b8,0a,ae,63,f1,9b,53,a0,85,f6,1f,c1,f0,f6,24,02,14,5c,85,d2,0c,6b,78,74,33,64,0d,dc,81,ca,54,bc,ec,f6,51,10,5c,42,5b,47,89,33,82,3f,71,2f,83,51,62,92,72,16,4b,43,bf,e1,5a,2a,4a,86,4b,4c,3a,f4,6d,df,42,16,ba,d5,f1,c2,87,91,e7,93,fa,e8,a9,02,03,01,00,01,a3,58,30,56,30,16,06,03,55,1d,25,04,0f,30,0d,06,0b,2b,06,01,04,01,82,37,0a,03,04,01,30,31,06,03,55,1d,11,04,2a,30,28,a0,26,06,0a,2b,06,01,04,01,82,37,14,02,03,a0,18,0c,16,41,64,6d,69,6e,69,73,74,72,61,74,6f,72,40,4c,41,42,2d,45,4e,56,00,30,09,06,03,55,1d,13,04,02,30,00,30,0d,06,09,2a,86,48,86,f7,0d,01,01,05,05,00,03,82,01,01,00,27,e0,90,2b,92,c0,28,27,72,4d,1b,a8,e0,7b,57,8d,e1,94,6b,83,b4,e4,b4,6d,f4,6f,5b,7f,85,ce,dd,7e,c9,94,e0,8e,68,c5,eb,27,c8,83,45,b8,c4,ed,f8,50,0a,f7,69,37,aa,8d,d7,15,a3,3a,60,aa,f2,5a,e7,cb,74,4a,73,ca,84,f6,e3,8b,d4,29,10,57,14,fb,4d,7a,db,26,7b,6e,a5,ec,82,58,af,fd,e8,69,1d,3b,62,6b,25,93,9b,4b,e5,c1,44,3c,dc,a3,00,22,38,59,1a,d0,1e,40,f3,8d,fa,9a,ee,e0,86,0b,dd,b4,e1,e2,66,50,e9,7c,25,0f,27,7f,07,64,f0,28,cd,5b,45,cd,20,58,51,31,48,43,05,ba,15,ea,a4,8e,b0,5a,d4,ec,17,78,3f,90,cd,5a,d9,f6,de,88,c0,0d,7c,8c,81,81,c4,a9,aa,ee,e8,9c,c8,b4,20,6b,42,b1,7f,f2,7b,fa,0b,61,49,21,e1,6a,1f,d1,96,f8,d1,5b,ee,77,45,ea,8e,24,83,e5,36,c6,7d,48,4e,c7,70,b3,47,57,b5,92,71,95,33,91,c5,a9,28,66,29,57,16,be,e3,a4,ab,b5,c2,5e,e0,0d,c2,d7,af,b4,dc,21,3f,80,27,7a,c2,4b,d3,bb</t>
  </si>
  <si>
    <t>Blob</t>
  </si>
  <si>
    <t>Software\Policies\Microsoft\SystemCertificates\EFS\Certificates\0145137C6418A833D0EF65E3850739F221A7A3E3</t>
  </si>
  <si>
    <t>01,00,01,00,01,00,00,00,c4,03,00,00,c0,03,00,00,1c,00,00,00,02,00,00,00,88,03,00,00,38,00,00,00,00,00,00,00,00,00,00,00,01,05,00,00,00,00,00,05,15,00,00,00,01,e3,2b,6b,0b,e9,cf,2b,3e,04,d2,fe,f4,01,00,00,30,82,03,84,30,82,02,6c,a0,03,02,01,02,02,10,2c,ad,a1,f1,fd,c7,b9,9a,42,63,16,be,f6,39,fa,93,30,0d,06,09,2a,86,48,86,f7,0d,01,01,05,05,00,30,50,31,16,30,14,06,03,55,04,03,13,0d,41,64,6d,69,6e,69,73,74,72,61,74,6f,72,31,0c,30,0a,06,03,55,04,07,13,03,45,46,53,31,28,30,26,06,03,55,04,0b,13,1f,45,46,53,20,46,69,6c,65,20,45,6e,63,72,79,70,74,69,6f,6e,20,43,65,72,74,69,66,69,63,61,74,65,30,20,17,0d,32,36,30,37,32,35,32,32,34,30,34,36,5a,18,0f,32,31,32,36,30,37,30,31,32,32,34,30,34,36,5a,30,50,31,16,30,14,06,03,55,04,03,13,0d,41,64,6d,69,6e,69,73,74,72,61,74,6f,72,31,0c,30,0a,06,03,55,04,07,13,03,45,46,53,31,28,30,26,06,03,55,04,0b,13,1f,45,46,53,20,46,69,6c,65,20,45,6e,63,72,79,70,74,69,6f,6e,20,43,65,72,74,69,66,69,63,61,74,65,30,82,01,22,30,0d,06,09,2a,86,48,86,f7,0d,01,01,01,05,00,03,82,01,0f,00,30,82,01,0a,02,82,01,01,00,dd,d6,bb,2d,32,01,18,44,dc,cf,9c,96,09,00,6a,c3,81,98,35,7f,54,18,cc,b0,d4,31,ad,ac,83,69,86,0a,e0,ef,47,59,be,b8,d4,ee,04,40,b1,9f,0c,80,c1,b8,3a,58,a3,19,0a,d1,14,af,ab,49,66,b6,b0,c8,03,c5,7a,2e,46,67,24,50,d9,cb,85,74,e9,a8,d3,c9,94,59,17,74,9e,85,36,82,1b,85,52,92,cb,19,dc,2f,48,6b,fc,a3,b8,3e,2b,21,d3,77,71,dd,1c,fa,af,f2,5e,8f,1e,d8,94,a6,fd,31,2b,8f,70,c7,ea,53,cf,a9,15,c9,50,4b,67,65,8f,cc,f8,cf,c5,a5,74,89,c5,da,c4,c5,89,b6,22,b7,7a,cb,eb,dd,36,df,19,fe,0f,c3,ef,fe,24,6f,58,3b,72,ee,fe,b0,cc,1b,60,91,80,c0,a2,2d,e2,b8,0a,ae,63,f1,9b,53,a0,85,f6,1f,c1,f0,f6,24,02,14,5c,85,d2,0c,6b,78,74,33,64,0d,dc,81,ca,54,bc,ec,f6,51,10,5c,42,5b,47,89,33,82,3f,71,2f,83,51,62,92,72,16,4b,43,bf,e1,5a,2a,4a,86,4b,4c,3a,f4,6d,df,42,16,ba,d5,f1,c2,87,91,e7,93,fa,e8,a9,02,03,01,00,01,a3,58,30,56,30,16,06,03,55,1d,25,04,0f,30,0d,06,0b,2b,06,01,04,01,82,37,0a,03,04,01,30,31,06,03,55,1d,11,04,2a,30,28,a0,26,06,0a,2b,06,01,04,01,82,37,14,02,03,a0,18,0c,16,41,64,6d,69,6e,69,73,74,72,61,74,6f,72,40,4c,41,42,2d,45,4e,56,00,30,09,06,03,55,1d,13,04,02,30,00,30,0d,06,09,2a,86,48,86,f7,0d,01,01,05,05,00,03,82,01,01,00,27,e0,90,2b,92,c0,28,27,72,4d,1b,a8,e0,7b,57,8d,e1,94,6b,83,b4,e4,b4,6d,f4,6f,5b,7f,85,ce,dd,7e,c9,94,e0,8e,68,c5,eb,27,c8,83,45,b8,c4,ed,f8,50,0a,f7,69,37,aa,8d,d7,15,a3,3a,60,aa,f2,5a,e7,cb,74,4a,73,ca,84,f6,e3,8b,d4,29,10,57,14,fb,4d,7a,db,26,7b,6e,a5,ec,82,58,af,fd,e8,69,1d,3b,62,6b,25,93,9b,4b,e5,c1,44,3c,dc,a3,00,22,38,59,1a,d0,1e,40,f3,8d,fa,9a,ee,e0,86,0b,dd,b4,e1,e2,66,50,e9,7c,25,0f,27,7f,07,64,f0,28,cd,5b,45,cd,20,58,51,31,48,43,05,ba,15,ea,a4,8e,b0,5a,d4,ec,17,78,3f,90,cd,5a,d9,f6,de,88,c0,0d,7c,8c,81,81,c4,a9,aa,ee,e8,9c,c8,b4,20,6b,42,b1,7f,f2,7b,fa,0b,61,49,21,e1,6a,1f,d1,96,f8,d1,5b,ee,77,45,ea,8e,24,83,e5,36,c6,7d,48,4e,c7,70,b3,47,57,b5,92,71,95,33,91,c5,a9,28,66,29,57,16,be,e3,a4,ab,b5,c2,5e,e0,0d,c2,d7,af,b4,dc,21,3f,80,27,7a,c2,4b,d3,bb</t>
  </si>
  <si>
    <t>EFSBlob</t>
  </si>
  <si>
    <t>Software\Policies\Microsoft\SystemCertificates\EFS</t>
  </si>
  <si>
    <t>BlockNonAdminActiveXInstall</t>
  </si>
  <si>
    <t>Software\Policies\Microsoft\Internet Explorer\Security\ActiveX</t>
  </si>
  <si>
    <t>DisableSecuritySettingsCheck</t>
  </si>
  <si>
    <t>Software\Policies\Microsoft\Internet Explorer\Security</t>
  </si>
  <si>
    <t>NoCrashDetection</t>
  </si>
  <si>
    <t>Software\Policies\Microsoft\Internet Explorer\Restrictions</t>
  </si>
  <si>
    <t>PreventOverrideAppRepUnknown</t>
  </si>
  <si>
    <t>Software\Policies\Microsoft\Internet Explorer\PhishingFilter</t>
  </si>
  <si>
    <t>PreventOverride</t>
  </si>
  <si>
    <t>EnabledV9</t>
  </si>
  <si>
    <t>iexplore.exe</t>
  </si>
  <si>
    <t>Software\Policies\Microsoft\Internet Explorer\Main\FeatureControl\FEATURE_ZONE_ELEVATION</t>
  </si>
  <si>
    <t>explorer.exe</t>
  </si>
  <si>
    <t>(Reserved)</t>
  </si>
  <si>
    <t>Software\Policies\Microsoft\Internet Explorer\Main\FeatureControl\FEATURE_WINDOW_RESTRICTIONS</t>
  </si>
  <si>
    <t>Software\Policies\Microsoft\Internet Explorer\Main\FeatureControl\FEATURE_SECURITYBAND</t>
  </si>
  <si>
    <t>Software\Policies\Microsoft\Internet Explorer\Main\FeatureControl\FEATURE_RESTRICT_FILEDOWNLOAD</t>
  </si>
  <si>
    <t>Software\Policies\Microsoft\Internet Explorer\Main\FeatureControl\FEATURE_RESTRICT_ACTIVEXINSTALL</t>
  </si>
  <si>
    <t>Software\Policies\Microsoft\Internet Explorer\Main\FeatureControl\FEATURE_MIME_SNIFFING</t>
  </si>
  <si>
    <t>Software\Policies\Microsoft\Internet Explorer\Main\FeatureControl\FEATURE_MIME_HANDLING</t>
  </si>
  <si>
    <t>Software\Policies\Microsoft\Internet Explorer\Main\FeatureControl\FEATURE_DISABLE_MK_PROTOCOL</t>
  </si>
  <si>
    <t>Isolation64Bit</t>
  </si>
  <si>
    <t>Software\Policies\Microsoft\Internet Explorer\Main</t>
  </si>
  <si>
    <t>PMEM</t>
  </si>
  <si>
    <t>Isolation</t>
  </si>
  <si>
    <t>DisableEPMCompat</t>
  </si>
  <si>
    <t>DisableEnclosureDownload</t>
  </si>
  <si>
    <t>Software\Policies\Microsoft\Internet Explorer\Feeds</t>
  </si>
  <si>
    <t>RunInvalidSignatures</t>
  </si>
  <si>
    <t>Software\Policies\Microsoft\Internet Explorer\Download</t>
  </si>
  <si>
    <t>yes</t>
  </si>
  <si>
    <t>CheckExeSignatures</t>
  </si>
  <si>
    <t>EnhancedAntiSpoofing</t>
  </si>
  <si>
    <t>Software\Policies\Microsoft\Biometrics\FacialFeatures</t>
  </si>
  <si>
    <t>AdmPwdEnabled</t>
  </si>
  <si>
    <t>Software\Policies\Microsoft Services\AdmPwd</t>
  </si>
  <si>
    <t>AllowEncryptionOracle</t>
  </si>
  <si>
    <t>Software\Microsoft\Windows\CurrentVersion\Policies\System\CredSSP\Parameters</t>
  </si>
  <si>
    <t>LocalAccountTokenFilterPolicy</t>
  </si>
  <si>
    <t>Software\Microsoft\Windows\CurrentVersion\Policies\System</t>
  </si>
  <si>
    <t>900</t>
  </si>
  <si>
    <t>InactivityTimeoutSecs</t>
  </si>
  <si>
    <t>FilterAdministratorToken</t>
  </si>
  <si>
    <t>EnableVirtualization</t>
  </si>
  <si>
    <t>EnableSecureUIAPaths</t>
  </si>
  <si>
    <t>EnableLUA</t>
  </si>
  <si>
    <t>EnableInstallerDetection</t>
  </si>
  <si>
    <t>DisableAutomaticRestartSignOn</t>
  </si>
  <si>
    <t>ConsentPromptBehaviorUser</t>
  </si>
  <si>
    <t>ConsentPromptBehaviorAdmin</t>
  </si>
  <si>
    <t>VersionCheckEnabled</t>
  </si>
  <si>
    <t>Software\Microsoft\Windows\CurrentVersion\Policies\Ext</t>
  </si>
  <si>
    <t>RunThisTimeEnabled</t>
  </si>
  <si>
    <t>255</t>
  </si>
  <si>
    <t>NoDriveTypeAutoRun</t>
  </si>
  <si>
    <t>Software\Microsoft\Windows\CurrentVersion\Policies\Explorer</t>
  </si>
  <si>
    <t>NoAutorun</t>
  </si>
  <si>
    <t>ScRemoveOption</t>
  </si>
  <si>
    <t>Software\Microsoft\Windows NT\CurrentVersion\Winlogon</t>
  </si>
  <si>
    <t>no</t>
  </si>
  <si>
    <t>FormSuggest PW Ask</t>
  </si>
  <si>
    <t>HKCU</t>
  </si>
  <si>
    <t>FormSuggest Passwords</t>
  </si>
  <si>
    <t>Software\Policies\Microsoft\Internet Explorer\Control Panel</t>
  </si>
  <si>
    <t>Success and Failure</t>
  </si>
  <si>
    <t>System Integrity</t>
  </si>
  <si>
    <t>System</t>
  </si>
  <si>
    <t>Success</t>
  </si>
  <si>
    <t>Security System Extension</t>
  </si>
  <si>
    <t>Security State Change</t>
  </si>
  <si>
    <t>Other System Events</t>
  </si>
  <si>
    <t>Sensitive Privilege Use</t>
  </si>
  <si>
    <t>Privilege Use</t>
  </si>
  <si>
    <t>Failure</t>
  </si>
  <si>
    <t>Other Policy Change Events</t>
  </si>
  <si>
    <t>Policy Change</t>
  </si>
  <si>
    <t>MPSSVC Rule-Level Policy Change</t>
  </si>
  <si>
    <t>Authentication Policy Change</t>
  </si>
  <si>
    <t>Audit Policy Change</t>
  </si>
  <si>
    <t>Removable Storage</t>
  </si>
  <si>
    <t>Object Access</t>
  </si>
  <si>
    <t>Other Object Access Events</t>
  </si>
  <si>
    <t>File Share</t>
  </si>
  <si>
    <t>Detailed File Share</t>
  </si>
  <si>
    <t>Special Logon</t>
  </si>
  <si>
    <t>Logon/Logoff</t>
  </si>
  <si>
    <t>Other Logon/Logoff Events</t>
  </si>
  <si>
    <t>Logon</t>
  </si>
  <si>
    <t>Group Membership</t>
  </si>
  <si>
    <t>Account Lockout</t>
  </si>
  <si>
    <t>Directory Service Changes</t>
  </si>
  <si>
    <t>DS Access</t>
  </si>
  <si>
    <t>Directory Service Access</t>
  </si>
  <si>
    <t>Process Creation</t>
  </si>
  <si>
    <t>Detailed Tracking</t>
  </si>
  <si>
    <t>Plug and Play Events</t>
  </si>
  <si>
    <t>User Account Management</t>
  </si>
  <si>
    <t>Account Management</t>
  </si>
  <si>
    <t>Security Group Management</t>
  </si>
  <si>
    <t>Other Account Management Events</t>
  </si>
  <si>
    <t>Computer Account Management</t>
  </si>
  <si>
    <t>Kerberos Service Ticket Operations</t>
  </si>
  <si>
    <t>Kerberos Authentication Service</t>
  </si>
  <si>
    <t>Credential Validation</t>
  </si>
  <si>
    <t>Controls Failed</t>
  </si>
  <si>
    <t>Controls passed</t>
  </si>
  <si>
    <t>Pass/Fail</t>
  </si>
  <si>
    <t>Windows_Server_Baseline</t>
  </si>
  <si>
    <t>Updated_OnPrem</t>
  </si>
  <si>
    <t>Policy Setting</t>
  </si>
  <si>
    <t>Policy Group or Registry Key</t>
  </si>
  <si>
    <t>Policy Type</t>
  </si>
  <si>
    <t>Conflict</t>
  </si>
  <si>
    <t>Controls Conflicted</t>
  </si>
  <si>
    <r>
      <rPr>
        <b/>
        <sz val="11"/>
        <color theme="1"/>
        <rFont val="Aptos Narrow"/>
        <family val="2"/>
        <scheme val="minor"/>
      </rPr>
      <t>Total Controls:</t>
    </r>
    <r>
      <rPr>
        <sz val="11"/>
        <color theme="1"/>
        <rFont val="Aptos Narrow"/>
        <family val="2"/>
        <scheme val="minor"/>
      </rPr>
      <t xml:space="preserve"> 364</t>
    </r>
  </si>
  <si>
    <t>General Metrics</t>
  </si>
  <si>
    <r>
      <rPr>
        <b/>
        <sz val="11"/>
        <color theme="1"/>
        <rFont val="Aptos Narrow"/>
        <family val="2"/>
        <scheme val="minor"/>
      </rPr>
      <t>Controls passed:</t>
    </r>
    <r>
      <rPr>
        <sz val="11"/>
        <color theme="1"/>
        <rFont val="Aptos Narrow"/>
        <family val="2"/>
        <scheme val="minor"/>
      </rPr>
      <t xml:space="preserve"> 325 (89.29%)</t>
    </r>
  </si>
  <si>
    <r>
      <rPr>
        <b/>
        <sz val="11"/>
        <color theme="1"/>
        <rFont val="Aptos Narrow"/>
        <family val="2"/>
        <scheme val="minor"/>
      </rPr>
      <t>Controls Failed</t>
    </r>
    <r>
      <rPr>
        <sz val="11"/>
        <color theme="1"/>
        <rFont val="Aptos Narrow"/>
        <family val="2"/>
        <scheme val="minor"/>
      </rPr>
      <t>: 25 (6.87%)</t>
    </r>
  </si>
  <si>
    <r>
      <rPr>
        <b/>
        <sz val="11"/>
        <color theme="1"/>
        <rFont val="Aptos Narrow"/>
        <family val="2"/>
        <scheme val="minor"/>
      </rPr>
      <t>Controls Conflicted</t>
    </r>
    <r>
      <rPr>
        <sz val="11"/>
        <color theme="1"/>
        <rFont val="Aptos Narrow"/>
        <family val="2"/>
        <scheme val="minor"/>
      </rPr>
      <t>: 14 (3.84%)</t>
    </r>
  </si>
  <si>
    <t>The current policy/setting configuration</t>
  </si>
  <si>
    <t>Steps to remediation (step-by-step, script, or documentation)</t>
  </si>
  <si>
    <t>The correct/best practice for the policy/setting configuration</t>
  </si>
  <si>
    <t>"Default Domain Controllers Policy," "DC Policy," and "MemberServer" GPOs all reference the same policy</t>
  </si>
  <si>
    <t>"Schema admins" security group should be empty outside of when updates are required</t>
  </si>
  <si>
    <t>A Domain-linked GPO should be enforcing the enabled "Hardened UNC Paths" policy</t>
  </si>
  <si>
    <t>Accounts should be locked out for at least 10 minutes in the event of multiple failed login attempts</t>
  </si>
  <si>
    <t>Service accounts share the same password policy as all users</t>
  </si>
  <si>
    <t>Administrator accounts should have a protected user flag or be a member of the "Protected Users" security group</t>
  </si>
  <si>
    <t>Administrator accounts do not have a protected user flag and are not included in the "Protected Users" security group</t>
  </si>
  <si>
    <t>"Force logoff when logon hours expire" policy not defined in a GPO</t>
  </si>
  <si>
    <t>Changes to the Domain schema are permanent, and the best practice is to only add administrators to the "schema admins" group when changes need to be made to avoid irreversible mistakes.</t>
  </si>
  <si>
    <t>The recycle bin is essential for recovery in active directory. This allows the retrieval of accidentally deleted objects, or objects that need restoration.</t>
  </si>
  <si>
    <t>Users should be forced to log off during restricted hours</t>
  </si>
  <si>
    <t>Forcing users to log off during restricted hours decreases the risk of insider threats due to unattended worstations, and attacks towards vulnerable systems during restricted hours.</t>
  </si>
  <si>
    <t>"Hardened Paths" is a solution to vulnerabilties that allow attackers to execute a domain takeover via a man-in-the-middle attack. A GPO linking this enabled policy to the domain is essential.</t>
  </si>
  <si>
    <t>Allowing users other than administrators to have the privilege to load drivers opens the domain to known Privilege Escalation exploits. Having one designated GPO addressing this user right instead of multiple avoids configuration drift and overlapping policy.</t>
  </si>
  <si>
    <t>Allowing users to enable to server to access resources from another server should be a privilege only delegated to designated individuals, as there are related security exploits. If GPOs contain conflicting values for a policy, configuration drift can occur, as well as overlapping policy.</t>
  </si>
  <si>
    <t>Service accounts are vulnerable to offline credential attacks, with methods that are exclusive to service accounts. Having lengthy, complex passwords prevents the credentials from being stolen.</t>
  </si>
  <si>
    <t>Powershell is a powerful tool for attackers and defenders alike, and any commands executed should be logged and stored for accounting purposes.</t>
  </si>
  <si>
    <t>Workstation additions should be handled by administrators</t>
  </si>
  <si>
    <t>Computer lockout should be enforced after 5 or less failed password attempts</t>
  </si>
  <si>
    <t>No GPO enforcing the "Hardened UNC Paths" policy</t>
  </si>
  <si>
    <t>No GPO containing rules for auditing Powershell command inputs</t>
  </si>
  <si>
    <t>A single domain-linked GPO should enforce logging the authentication of credentials in the event of success or failure</t>
  </si>
  <si>
    <t>CM-07(1)</t>
  </si>
  <si>
    <t>CP-09(7)</t>
  </si>
  <si>
    <r>
      <t xml:space="preserve">Which control outcome in the </t>
    </r>
    <r>
      <rPr>
        <i/>
        <sz val="11"/>
        <color theme="1"/>
        <rFont val="Aptos Narrow"/>
        <family val="2"/>
        <scheme val="minor"/>
      </rPr>
      <t>NIST Special Publication 800-53 Rev. 5</t>
    </r>
    <r>
      <rPr>
        <sz val="11"/>
        <color theme="1"/>
        <rFont val="Aptos Narrow"/>
        <family val="2"/>
        <scheme val="minor"/>
      </rPr>
      <t xml:space="preserve">  (</t>
    </r>
    <r>
      <rPr>
        <i/>
        <sz val="11"/>
        <color theme="1"/>
        <rFont val="Aptos Narrow"/>
        <family val="2"/>
        <scheme val="minor"/>
      </rPr>
      <t>NIST CSF 2.0</t>
    </r>
    <r>
      <rPr>
        <sz val="11"/>
        <color theme="1"/>
        <rFont val="Aptos Narrow"/>
        <family val="2"/>
        <scheme val="minor"/>
      </rPr>
      <t xml:space="preserve"> for control categories) most closely associates with the control</t>
    </r>
  </si>
  <si>
    <t>IA-02(8)</t>
  </si>
  <si>
    <t>IA-05</t>
  </si>
  <si>
    <t>AU-12</t>
  </si>
  <si>
    <t>AU-01</t>
  </si>
  <si>
    <t>AC-07</t>
  </si>
  <si>
    <t>AC-02(7)</t>
  </si>
  <si>
    <t>AC-02(7d)</t>
  </si>
  <si>
    <t>IA-05(1)</t>
  </si>
  <si>
    <t>AC-02(5)</t>
  </si>
  <si>
    <t>AC-02</t>
  </si>
  <si>
    <t>CM-02</t>
  </si>
  <si>
    <t>AC-06(8)</t>
  </si>
  <si>
    <t>AC-06</t>
  </si>
  <si>
    <t>CM-06</t>
  </si>
  <si>
    <t>RA-05</t>
  </si>
  <si>
    <t>PingCastle Scans are executed ad hoc</t>
  </si>
  <si>
    <t>SI-04(2)</t>
  </si>
  <si>
    <t>An agent is not installed to aggregate audit logs into the SIEM</t>
  </si>
  <si>
    <t>AC-02(1)</t>
  </si>
  <si>
    <t>Automation and governance of account lifecycles is not in place</t>
  </si>
  <si>
    <t>Accounts should be automatically provisioned, de-provisioned, flagged, etc. based on user lifecycle</t>
  </si>
  <si>
    <t>Consistently scanning the domain for risk is essential to avoid configuration drift, address resurfacing vulnerabilities, and monitor security posture.</t>
  </si>
  <si>
    <t>Qualitative description of risk that the gap between states creates (Critical, High, Medium, Low)</t>
  </si>
  <si>
    <t>NTLMv1 is an old authentication protocol that has known cryptographic vulnerabilities. Hackers can sniff the network to try and retreive NTLM hashes which can be used to impersonate users, and when combined with other authentication attacks, potentially gain control of the Domain.</t>
  </si>
  <si>
    <t>Without the flag "this account is sensitive and cannot be delegated," or the account is not a member of the "Protected Users" group, the account can be impersonated by a service account, leading to the breach of a privileged account.</t>
  </si>
  <si>
    <r>
      <t xml:space="preserve">Critical   </t>
    </r>
    <r>
      <rPr>
        <b/>
        <sz val="8"/>
        <color theme="1" tint="4.9989318521683403E-2"/>
        <rFont val="Aptos Narrow"/>
        <family val="2"/>
        <scheme val="minor"/>
      </rPr>
      <t>(high likelihood, high impact)</t>
    </r>
  </si>
  <si>
    <r>
      <t xml:space="preserve">High       </t>
    </r>
    <r>
      <rPr>
        <b/>
        <sz val="8"/>
        <color theme="1"/>
        <rFont val="Aptos Narrow"/>
        <family val="2"/>
        <scheme val="minor"/>
      </rPr>
      <t>(high likelihood, medium impact)</t>
    </r>
  </si>
  <si>
    <r>
      <t xml:space="preserve">Medium </t>
    </r>
    <r>
      <rPr>
        <b/>
        <sz val="8"/>
        <color theme="1"/>
        <rFont val="Aptos Narrow"/>
        <family val="2"/>
        <scheme val="minor"/>
      </rPr>
      <t>(medium likelihood, medium impact)</t>
    </r>
  </si>
  <si>
    <r>
      <t xml:space="preserve">Low         </t>
    </r>
    <r>
      <rPr>
        <b/>
        <sz val="8"/>
        <color theme="1"/>
        <rFont val="Aptos Narrow"/>
        <family val="2"/>
        <scheme val="minor"/>
      </rPr>
      <t>(low likelihood, low impact)</t>
    </r>
  </si>
  <si>
    <r>
      <t xml:space="preserve">Low         </t>
    </r>
    <r>
      <rPr>
        <b/>
        <sz val="8"/>
        <color theme="1"/>
        <rFont val="Aptos Narrow"/>
        <family val="2"/>
        <scheme val="minor"/>
      </rPr>
      <t>(low likelihood, medium impact)</t>
    </r>
  </si>
  <si>
    <r>
      <t xml:space="preserve">Medium </t>
    </r>
    <r>
      <rPr>
        <b/>
        <sz val="8"/>
        <color theme="1"/>
        <rFont val="Aptos Narrow"/>
        <family val="2"/>
        <scheme val="minor"/>
      </rPr>
      <t>(low likelihood, high impact)</t>
    </r>
  </si>
  <si>
    <t>Having  consistent  policy is important for successful security operations. If a policy is changed by an administrator, but another policy is overriding the change, the intended security control is not being implemented.</t>
  </si>
  <si>
    <r>
      <t xml:space="preserve">High  </t>
    </r>
    <r>
      <rPr>
        <b/>
        <sz val="8"/>
        <color theme="1"/>
        <rFont val="Aptos Narrow"/>
        <family val="2"/>
        <scheme val="minor"/>
      </rPr>
      <t>(medium likelihood, high impact)</t>
    </r>
  </si>
  <si>
    <t>Audit Visibility (DE.CM-09)</t>
  </si>
  <si>
    <t>Account/Password Policies (GV.PO-01)</t>
  </si>
  <si>
    <t>Domain/DC Security (PR.PS-01)</t>
  </si>
  <si>
    <t>User Rights/Privileges (PR.AA-05)</t>
  </si>
  <si>
    <t>Continuous Monitoring (DE.CM)</t>
  </si>
  <si>
    <t>Service &amp; Protocol Hardening (PR.PS-02)</t>
  </si>
  <si>
    <t>Why the specified gap creates a risk within the organization</t>
  </si>
  <si>
    <t>By default, all authenticated users can add up to 10 computers to the domain. These workstations could have weak credentials, incorrect configurations, and overall increase the domain's attack surface.</t>
  </si>
  <si>
    <t>Remove administrators sitting in the "Schema admins" group, unless change to the domain schema must occur</t>
  </si>
  <si>
    <t>"MemberServer" and "DC Policy" GPO contain conflicting values for Audit Credential Validation</t>
  </si>
  <si>
    <t>"Default Domain Controllers Policy" and DC Policy" GPOs contain conflicting values for "Back up files and directories"</t>
  </si>
  <si>
    <t>"Default Domain Controllers Policy" and DC Policy" GPOs contain conflicting values for "Enable computer and user accounts to be trusted for delegation"</t>
  </si>
  <si>
    <t>Administrator account are apart of the "schema admins" group</t>
  </si>
  <si>
    <t>The default value for user access rights to "Add workstations to domain" is active</t>
  </si>
  <si>
    <t>Only administrators should be able to load and unload drivers, and only one GPO should reference this policy</t>
  </si>
  <si>
    <t>Only authorized users/administrators should have delegation privileges, and only one GPO should reference this policy</t>
  </si>
  <si>
    <t>Print Spooler is enabled on the server</t>
  </si>
  <si>
    <t>Default DC policy allows authentication via NTLMv1</t>
  </si>
  <si>
    <t>The Recycle Bin is not enabled on the server</t>
  </si>
  <si>
    <t>LAPS is not active and configured on the server</t>
  </si>
  <si>
    <t>An administrator account has a password that never expires</t>
  </si>
  <si>
    <t>All users should have "Minimum password age" enforced, no accounts should explicitely have a never-expiring password</t>
  </si>
  <si>
    <t>"AccountLockout" and "DomainSec" GPOs contain conflicting values for" Account lockout threshold"</t>
  </si>
  <si>
    <t>"AccountLockout" and "DomainSec" GPOs contain conflicting values for "Account lockout duration"</t>
  </si>
  <si>
    <t>Reference to the current control state (The name of the policy as it appears in PolicyAnalyzer, the Rule ID in PingCastle, or screenshot of configuration)</t>
  </si>
  <si>
    <t>Follow instructions on Wazuh to download a SIEM agent onto the server</t>
  </si>
  <si>
    <t>Create a scheduled task that executes a PingCastle scan quarterly and saves the results to a folder</t>
  </si>
  <si>
    <t>Launch an identity governance campaign consisting of JML lifecycle automation, stale account identification, and quarterly access reviews</t>
  </si>
  <si>
    <t>Risk Level</t>
  </si>
  <si>
    <t>ID</t>
  </si>
  <si>
    <t>001</t>
  </si>
  <si>
    <t>002</t>
  </si>
  <si>
    <t>003</t>
  </si>
  <si>
    <t>004</t>
  </si>
  <si>
    <t>005</t>
  </si>
  <si>
    <t>006</t>
  </si>
  <si>
    <t>007</t>
  </si>
  <si>
    <t>008</t>
  </si>
  <si>
    <t>009</t>
  </si>
  <si>
    <t>010</t>
  </si>
  <si>
    <t>011</t>
  </si>
  <si>
    <t>012</t>
  </si>
  <si>
    <t>013</t>
  </si>
  <si>
    <t>014</t>
  </si>
  <si>
    <t>015</t>
  </si>
  <si>
    <t>016</t>
  </si>
  <si>
    <t>017</t>
  </si>
  <si>
    <t>018</t>
  </si>
  <si>
    <t>019</t>
  </si>
  <si>
    <t>020</t>
  </si>
  <si>
    <t>021</t>
  </si>
  <si>
    <t>Authentication via NTLMv1 should be explicitely disabled, enforcing only Kerberos or NTLMv2</t>
  </si>
  <si>
    <t>Print Spooler, as it is an usused service within the domain, should be disabled</t>
  </si>
  <si>
    <t>LAPS should be installed and implemented onto the domain to manage local administrator passwords on endpoints</t>
  </si>
  <si>
    <t>By default, all domain workstations share a local admin password. If local admin credentials is compromised, lateral movement becomes effortless. LAPS is designed to mitigate this security risk, managing local passwords on devices.</t>
  </si>
  <si>
    <t>The Recycle Bin should be enabled on the server to provide dual authentication deletion</t>
  </si>
  <si>
    <t>A Domain-linked GPO should enforce auditing for Poweshell command line inputs</t>
  </si>
  <si>
    <t>Logging successful and unsuccessful login attempts is important to see who is trying to gain access to the system, who has access, where the traffic is coming from, etc. in order to be able to act accordingly to threats.</t>
  </si>
  <si>
    <t>Service accounts should have a 20+ length password with password complexity enforced</t>
  </si>
  <si>
    <t>Gap Analysis Matrix Legend</t>
  </si>
  <si>
    <t>POA&amp;M Legend</t>
  </si>
  <si>
    <t>Gap description</t>
  </si>
  <si>
    <t>Risk level</t>
  </si>
  <si>
    <t>Status</t>
  </si>
  <si>
    <t>Status of the control implementation/fix</t>
  </si>
  <si>
    <t>Unique identifier for the control (maps to ID in the Gap Analysis Matrix</t>
  </si>
  <si>
    <t>Unique identifier for the control (maps to ID in the POA&amp;M)</t>
  </si>
  <si>
    <t>Brief description on why the specified gap creates a risk within the organization</t>
  </si>
  <si>
    <t>Necessary steps to implement the fix and ensure that it is effective</t>
  </si>
  <si>
    <t>Remediation Steps/Milestones</t>
  </si>
  <si>
    <t>Critical</t>
  </si>
  <si>
    <t>Print Spooler is a service that manages printing on the domain controller. While it can be useful, it has known vulnerabilities associated with its remote-accessible capabilities that enable attackers to impersonate users. Best practice is to disable it.</t>
  </si>
  <si>
    <t>High</t>
  </si>
  <si>
    <t>Medium</t>
  </si>
  <si>
    <t>A password that never expires allows for a threat actor, if they gain access to a system, to maintain access over a long period of time. The password may also be unconvered in a data breach, creating a significant risk of compromise.</t>
  </si>
  <si>
    <t>A password that never expires can be vulnerable to breached data and offline password attacks, as well as prolonged access if a hacker gets in.</t>
  </si>
  <si>
    <t>Without LAPS, all local admin passwords are the same, increasing risk of lateral movement.</t>
  </si>
  <si>
    <t>Default users adding workstations to the domain increases attack surface and creates higher chances for vulnerabilities.</t>
  </si>
  <si>
    <t>"Hardened Paths" was a fix to a known man-in-the-middle attack; The policy should be linked to the domain.</t>
  </si>
  <si>
    <t>Print Spooler's remote-accessible features are vulnerable to known exploits used to impersonate users.</t>
  </si>
  <si>
    <t>NTLMv1 is vulnerable to known cryptographic attacks that could lead to domain takeover.</t>
  </si>
  <si>
    <t>Service accounts are vulnerable to offline credential attacks and require long, complex passwords.</t>
  </si>
  <si>
    <t>Without proper categorization that an admin account cannot be delegated, it can be impersonated by a service account.</t>
  </si>
  <si>
    <t xml:space="preserve">Low         </t>
  </si>
  <si>
    <t>Without the recycle bin enabled, deleted objects will be permantly removed without recovery.</t>
  </si>
  <si>
    <t>Powershell is a powerfull tool for threat actors, and all inputs should be audited and stored.</t>
  </si>
  <si>
    <t>Logging successful and unsuccessful login attempts is important for system visibility, and one GPO should reference it to avoid configuration drift.</t>
  </si>
  <si>
    <t>Account lockout is essential for disrupting brute-force attacks, and one GPO should reference it to avoid configuration drift.</t>
  </si>
  <si>
    <t>Logging users off during restricted times reduces the risk of attacks from unattended workstations.</t>
  </si>
  <si>
    <t>Domain schema changes are permanent, and access should be given with percausion.</t>
  </si>
  <si>
    <t>→</t>
  </si>
  <si>
    <t>1. Navigate to the "MemberServer" GPO → Navigate to "Network Security" → Set "LAN Manager authentication level" to "Send NTLMv2 response only. Refuse LM &amp; NTLM"                                                                           2. Roll out change via gpupdate</t>
  </si>
  <si>
    <t>1. Navigate to the "DC Policy" GPO → Navigate to "System Services" → Disable "Print Spooler"                                                                   2. Roll out change via gpupdate</t>
  </si>
  <si>
    <t>1. Navigate to the DC Policy GPO → Navigate to "Network Provider"  → Set "NETLOGON" and "SYSVOL" values to 1                                                                         2. Roll out change via gpupdate</t>
  </si>
  <si>
    <t>1. Create new GPO pertaining to the "Service accounts" → Navigate to "Password Policy" → Enable "Relax minimum password length limits" → Set "Minimum password length" to 20 and Password complexity                                                          2. Test changes in a sandbox                                3. Roll out change via gpupdate</t>
  </si>
  <si>
    <t xml:space="preserve">1. Navigate to the "Protected Users" security group → Navigate to "members" → Add the "Domain admins" security group to the group     </t>
  </si>
  <si>
    <t>1. Navigate to "Server Manager" → Navigate to "Active Directory Administrative Center → Right click on domain and select "Enable Recycle Bin"</t>
  </si>
  <si>
    <t xml:space="preserve">1. Navigate to the "Schema admins" group → Navigate to "Members" → Select any objects currently within the group and remove them </t>
  </si>
  <si>
    <t>Only administrators should have delegation privileges, and only one GPO should reference this policy.</t>
  </si>
  <si>
    <t>Only administrators should be able to Back up files and directories, and only one GPO should reference this policy.</t>
  </si>
  <si>
    <t>Only administrators should be able to load and unload drivers, and only one GPO should reference this policy.</t>
  </si>
  <si>
    <t>1. Navigate to "Default Domain Controllers" Policy or "DC Policy" GPO, but not both → Navigate to User Rights Assignment → Undefine "Back up files and directories"</t>
  </si>
  <si>
    <t>1. Navigate to "Default Domain Controllers" Policy or "DC Policy" GPO, but not both → Navigate to User Rights Assignment → Undefine "Enable computer and user accounts to be trusted for delegation"</t>
  </si>
  <si>
    <t>1. Navigate to "Default Domain Controllers" Policy and "DC Policy" GPO → Navigate to User Rights Assignment → Undefine "Load and unload device drivers"</t>
  </si>
  <si>
    <t xml:space="preserve">Navigate to the "Default Domain Policy" GPO → Navigate to "Network Security" → Enable "Force logoff when logon hours expire"                                                                               2. Test change in sandbox                                    3. Roll out change via gpupdate </t>
  </si>
  <si>
    <t>1. Navigate to the "DomainSec" GPO → Navigate to Account Policies → Undefine "Account lockout threshold"                                                                     2. Test change in sandbox                                     3. Roll out change via gpupdate</t>
  </si>
  <si>
    <t>1. Navigate to the "DomainSec" GPO → Navigate to Account Policies → Undefine "Account lockout duration"                                                    2. Test change in sandbox                                       3. Roll out change via gpupdate</t>
  </si>
  <si>
    <t>1. Navigate to "MemberServer" or "DC Policy" GPO, but not both         → Navigate to Account Logon         → Undefine "Audit Credential Validation"                                                                 2. Roll out change via gpupdate</t>
  </si>
  <si>
    <t>1. Naviagate to "Properties" for the administrator account → Navigate to "Account" → Uncheck "Password never expires"</t>
  </si>
  <si>
    <t>1. Navigate to the Default Domain Controllers Policy GPO → Define "Add workstations to domain" User Rights Assignment to Administrators only                                                                    2. Test change in a sandbox                                3. Roll out change via gpupdate</t>
  </si>
  <si>
    <t>Continuous Monitoring/Management</t>
  </si>
  <si>
    <t>Aggregating logs to a centralized monitoring system is essential for continuous system monitoring, allowing an analyst to piece together the widespread actions of a threat actor.</t>
  </si>
  <si>
    <t>Aggregating all Active Directory logs to a centralized system is essential for digital forensics and incident response.</t>
  </si>
  <si>
    <t>Scheduled scans will help monitor and maintain system security posture.</t>
  </si>
  <si>
    <t>PingCastle scans should be scheduled to provide continuous domain monitoring</t>
  </si>
  <si>
    <t>A SIEM agent should be installed onto the system to enable centralized monitoring</t>
  </si>
  <si>
    <t>User account lifecycle automation and governance decreases the risk of stale accounts, privilege creep, and other security risks.</t>
  </si>
  <si>
    <t>Automation of account lifecycles decreases the risk of stale/privilege-crept accounts, allowing for ease of use within the Joiner-Mover-Leaver process, as well as decreasing the possibility of account breaches.</t>
  </si>
  <si>
    <t>1. Automate JML Processes to integrate with HR onboarding/offboarding sotware tools (Week 3)                                                              2. Create a script that checks for stale user accounts and joins them to a single database (Week 5)                                                               3. Conduct quarterly access reviews to identify privilege creep (ongoing)</t>
  </si>
  <si>
    <t>1. Create script for PingCastle to scan the system quarterly                                                        2. Add script to "Task Scheduler"                      3. Verify task shows up in "task Scheduler," along with the correct timing</t>
  </si>
  <si>
    <t>1. Navigate to the "MemberServer" GPO → Navigate to "Windows Powershell" → Enable "Turn on Module logging"                                          2. Test change in a sandbox                                3. Roll out change via gpupdate</t>
  </si>
  <si>
    <t>Ensure the domain only accepts NTLMv2 and Kerebros authentication via Group Policy Management</t>
  </si>
  <si>
    <t>Disable the Print Spooler domain service via Group Policy Management</t>
  </si>
  <si>
    <t>Follow Microsoft documentation to install LAPS onto the domain controller</t>
  </si>
  <si>
    <t>1. Follow Microsoft  documentation to configure LAPS (Referenced in lab-env_HC1.html (Rule: A-LAPS-Not-Installed))                                                                       2. Ensure password management is occuring</t>
  </si>
  <si>
    <t>Enable the Recycle Ben within the Actice Directory Administrative Center</t>
  </si>
  <si>
    <t>Ensure that all PowerShell inputs are audited and stored via Group Policy Management</t>
  </si>
  <si>
    <t>Ensure that only one GPO enforces the auditing of all login attempts via Group Policy Management</t>
  </si>
  <si>
    <t>Un-check the property box allowing the user to have a password that never expires</t>
  </si>
  <si>
    <t>Create a GPO enforcing strict service account password policies via Group Policy Management</t>
  </si>
  <si>
    <t>Ensure that only one GPO enforces locking out accounts after the login attempt threshold is met via Group Policy Management</t>
  </si>
  <si>
    <t>Ensure that only one GPO enforces locking out accounts for a certain duration after the login attempt threshold is met via Group Policy Management</t>
  </si>
  <si>
    <t>Add the "Domain Administrators" group  into the "Protected Users" group</t>
  </si>
  <si>
    <t>Ensure that the "Hardened Paths" policy is enabled within and active via Group Policy Management</t>
  </si>
  <si>
    <t>Define and enable the policy enforcing user account to be logged out of during restricted ours via Group Policy Management</t>
  </si>
  <si>
    <t>Only designated administrators should be able to Back up files and directories, and only one GPO should reference this policy</t>
  </si>
  <si>
    <t>Allowing backup apps  to bypass ACL rules to read files and folders is a complete breach of Least Privilege, and should be limited to specified administrators only. Having one designated GPO addressing this user right instead of multiple avoids configuration drift and overlapping policy.</t>
  </si>
  <si>
    <t>Define and enable the policy enforcing only admins being able to add workstations to the domain via Group Policy Management</t>
  </si>
  <si>
    <t>Ensure that only one domain-linked GPO is enforcing administrators only being able to back up files and directories via Group Policy Management</t>
  </si>
  <si>
    <t>Ensure that only one domain-linked GPO is enforcing administrators only being able to have delegation privileges via Group Policy Management</t>
  </si>
  <si>
    <t>Ensure that only one domain-linked GPO is enforcing administrators only being able to load and unload drivers via Group Policy Management</t>
  </si>
  <si>
    <t>Immediate Fixes</t>
  </si>
  <si>
    <t xml:space="preserve">artifacts/  - Wazuh_agent_endpoints.png </t>
  </si>
  <si>
    <t>Policy Analyzer Scan - SeLoadDriverPrivilege (Row 335)</t>
  </si>
  <si>
    <t>Policy Analyzer Scan - SeEnableDelegationPrivilege (Row 330)</t>
  </si>
  <si>
    <t xml:space="preserve">Policy Analyzer Scan - SeBackupPrivilege (Row 320) </t>
  </si>
  <si>
    <t>Policy Analyzer Scan -ForceLogoffWhenHourExpire (Row 355)</t>
  </si>
  <si>
    <t>Policy Analyzer Scan - LockoutBadCount (Row 356)</t>
  </si>
  <si>
    <t>Policy Analyzer Scan - LockoutDuration (Row 357)</t>
  </si>
  <si>
    <t>Policy Analyzer Scan - Credential Validation (Row 2)</t>
  </si>
  <si>
    <t>PingCastle_LAB-ENV.html (Rule: P-SchemaAdmin)</t>
  </si>
  <si>
    <t>PingCastle_LAB-ENV.html (Rule: S-ADRegistration)</t>
  </si>
  <si>
    <t>PingCastle_LAB-ENV.html (Rule: P-Delegated)</t>
  </si>
  <si>
    <t xml:space="preserve">PingCastle_LAB-ENV.html (Rule: A-HardenedPaths) </t>
  </si>
  <si>
    <t xml:space="preserve">PingCastle_LAB-ENV.html (Rule: A-NoServicePolicy) </t>
  </si>
  <si>
    <t xml:space="preserve">PingCastle_LAB-ENV.html (Rule: S-PwdNeverExpires </t>
  </si>
  <si>
    <t>PingCastle_LAB-ENV.html (Rule: A-AuditPowershell)</t>
  </si>
  <si>
    <t>PingCastle_LAB-ENV.html (Rule: P-RecycleBin)</t>
  </si>
  <si>
    <t>PingCastle_LAB-ENV.html (Rule: A-LAPS-Not-Installed)</t>
  </si>
  <si>
    <t xml:space="preserve">PingCastle_LAB-ENV.html (Rule: A-DC-Spooler) </t>
  </si>
  <si>
    <t>PingCastle_LAB-ENV.html (Rule: S-OldNtlm)</t>
  </si>
  <si>
    <t>1. Open Wazuh → Navigate to "Agents" → Navigate to "Deploy new agent" → Follow instructions to install an agent on the Domain Controller                                                   2. Verify all logs are being sent to the SIEM</t>
  </si>
  <si>
    <t>artifacts/ - TaskSchedule.png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</si>
</sst>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i/>
      <sz val="11"/>
      <color theme="1"/>
      <name val="Aptos Narrow"/>
      <family val="2"/>
      <scheme val="minor"/>
    </font>
    <font>
      <sz val="12"/>
      <color theme="1"/>
      <name val="Aptos Narrow"/>
      <family val="2"/>
      <scheme val="minor"/>
    </font>
    <font>
      <b/>
      <sz val="8"/>
      <color theme="1" tint="4.9989318521683403E-2"/>
      <name val="Aptos Narrow"/>
      <family val="2"/>
      <scheme val="minor"/>
    </font>
    <font>
      <b/>
      <sz val="16"/>
      <color theme="1" tint="4.9989318521683403E-2"/>
      <name val="Aptos Narrow"/>
      <family val="2"/>
      <scheme val="minor"/>
    </font>
    <font>
      <b/>
      <sz val="14"/>
      <color theme="1"/>
      <name val="Aptos Narrow"/>
      <family val="2"/>
      <scheme val="minor"/>
    </font>
    <font>
      <b/>
      <sz val="16"/>
      <color theme="1"/>
      <name val="Aptos Narrow"/>
      <family val="2"/>
      <scheme val="minor"/>
    </font>
    <font>
      <b/>
      <sz val="8"/>
      <color theme="1"/>
      <name val="Aptos Narrow"/>
      <family val="2"/>
      <scheme val="minor"/>
    </font>
    <font>
      <sz val="14"/>
      <color theme="1"/>
      <name val="Aptos Narrow"/>
      <family val="2"/>
      <scheme val="minor"/>
    </font>
    <font>
      <sz val="14"/>
      <color theme="1"/>
      <name val="Aptos Narrow"/>
      <family val="2"/>
    </font>
    <font>
      <sz val="8"/>
      <name val="Aptos Narrow"/>
      <family val="2"/>
      <scheme val="minor"/>
    </font>
    <font>
      <sz val="16"/>
      <color theme="1"/>
      <name val="Aptos Narrow"/>
      <family val="2"/>
      <scheme val="minor"/>
    </font>
    <font>
      <sz val="11"/>
      <color theme="1"/>
      <name val="Aptos Narrow"/>
      <family val="2"/>
    </font>
  </fonts>
  <fills count="10">
    <fill>
      <patternFill patternType="none"/>
    </fill>
    <fill>
      <patternFill patternType="gray125"/>
    </fill>
    <fill>
      <patternFill patternType="solid">
        <fgColor rgb="FFF0F0F0"/>
        <bgColor indexed="64"/>
      </patternFill>
    </fill>
    <fill>
      <patternFill patternType="solid">
        <fgColor rgb="FFA9A9A9"/>
        <bgColor indexed="64"/>
      </patternFill>
    </fill>
    <fill>
      <patternFill patternType="solid">
        <fgColor rgb="FFFFFF00"/>
        <bgColor indexed="64"/>
      </patternFill>
    </fill>
    <fill>
      <patternFill patternType="solid">
        <fgColor theme="1"/>
        <bgColor indexed="64"/>
      </patternFill>
    </fill>
    <fill>
      <patternFill patternType="solid">
        <fgColor theme="2" tint="-0.499984740745262"/>
        <bgColor indexed="64"/>
      </patternFill>
    </fill>
    <fill>
      <patternFill patternType="solid">
        <fgColor rgb="FF990000"/>
        <bgColor indexed="64"/>
      </patternFill>
    </fill>
    <fill>
      <patternFill patternType="solid">
        <fgColor rgb="FFFF0000"/>
        <bgColor indexed="64"/>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97">
    <xf numFmtId="0" fontId="0" fillId="0" borderId="0" xfId="0"/>
    <xf numFmtId="0" fontId="1" fillId="0" borderId="0" xfId="0" applyFont="1"/>
    <xf numFmtId="49" fontId="0" fillId="0" borderId="0" xfId="0" applyNumberFormat="1"/>
    <xf numFmtId="49" fontId="0" fillId="2" borderId="0" xfId="0" applyNumberFormat="1" applyFill="1"/>
    <xf numFmtId="49" fontId="0" fillId="3" borderId="0" xfId="0" applyNumberFormat="1" applyFill="1"/>
    <xf numFmtId="49" fontId="0" fillId="4" borderId="0" xfId="0" applyNumberFormat="1" applyFill="1"/>
    <xf numFmtId="49" fontId="1" fillId="0" borderId="0" xfId="0" applyNumberFormat="1" applyFont="1"/>
    <xf numFmtId="0" fontId="1" fillId="0" borderId="1" xfId="0" applyFont="1" applyBorder="1"/>
    <xf numFmtId="0" fontId="1" fillId="0" borderId="2" xfId="0" applyFont="1" applyBorder="1"/>
    <xf numFmtId="0" fontId="0" fillId="0" borderId="0" xfId="0" applyAlignment="1">
      <alignment vertical="top" wrapText="1"/>
    </xf>
    <xf numFmtId="0" fontId="0" fillId="0" borderId="1" xfId="0" applyBorder="1" applyAlignment="1">
      <alignment vertical="top" wrapText="1"/>
    </xf>
    <xf numFmtId="0" fontId="0" fillId="0" borderId="3" xfId="0" applyBorder="1"/>
    <xf numFmtId="0" fontId="0" fillId="0" borderId="4" xfId="0" applyBorder="1"/>
    <xf numFmtId="0" fontId="0" fillId="0" borderId="5" xfId="0" applyBorder="1"/>
    <xf numFmtId="0" fontId="0" fillId="0" borderId="3" xfId="0" applyBorder="1" applyAlignment="1">
      <alignment vertical="top" wrapText="1"/>
    </xf>
    <xf numFmtId="0" fontId="0" fillId="5" borderId="3" xfId="0" applyFill="1" applyBorder="1" applyAlignment="1">
      <alignment vertical="top" wrapText="1"/>
    </xf>
    <xf numFmtId="0" fontId="0" fillId="0" borderId="5" xfId="0" applyBorder="1" applyAlignment="1">
      <alignment vertical="top" wrapText="1"/>
    </xf>
    <xf numFmtId="0" fontId="0" fillId="5" borderId="1" xfId="0" applyFill="1" applyBorder="1" applyAlignment="1">
      <alignment vertical="top" wrapText="1"/>
    </xf>
    <xf numFmtId="0" fontId="3" fillId="5" borderId="3" xfId="0" applyFont="1" applyFill="1" applyBorder="1" applyAlignment="1">
      <alignment vertical="top" wrapText="1"/>
    </xf>
    <xf numFmtId="0" fontId="3" fillId="0" borderId="0" xfId="0" applyFont="1"/>
    <xf numFmtId="0" fontId="3" fillId="5" borderId="3" xfId="0" applyFont="1" applyFill="1" applyBorder="1" applyAlignment="1">
      <alignment horizontal="center" vertical="top" wrapText="1"/>
    </xf>
    <xf numFmtId="0" fontId="3" fillId="5" borderId="10" xfId="0" applyFont="1" applyFill="1" applyBorder="1" applyAlignment="1">
      <alignment horizontal="center" vertical="top" wrapText="1"/>
    </xf>
    <xf numFmtId="0" fontId="3" fillId="0" borderId="0" xfId="0" applyFont="1" applyAlignment="1">
      <alignment horizontal="center" vertical="top"/>
    </xf>
    <xf numFmtId="0" fontId="3" fillId="5" borderId="1" xfId="0" applyFont="1" applyFill="1" applyBorder="1" applyAlignment="1">
      <alignment vertical="top" wrapText="1"/>
    </xf>
    <xf numFmtId="0" fontId="5" fillId="7"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9" fillId="0" borderId="5" xfId="0" applyFont="1" applyBorder="1" applyAlignment="1">
      <alignment horizontal="center" vertical="top" wrapText="1"/>
    </xf>
    <xf numFmtId="0" fontId="9" fillId="0" borderId="1" xfId="0" applyFont="1" applyBorder="1" applyAlignment="1">
      <alignment vertical="top" wrapText="1"/>
    </xf>
    <xf numFmtId="0" fontId="9" fillId="0" borderId="1" xfId="0" applyFont="1" applyBorder="1" applyAlignment="1">
      <alignment horizontal="center" vertical="top" wrapText="1"/>
    </xf>
    <xf numFmtId="0" fontId="9" fillId="0" borderId="0" xfId="0" applyFont="1" applyAlignment="1">
      <alignment vertical="top" wrapText="1"/>
    </xf>
    <xf numFmtId="0" fontId="10" fillId="0" borderId="1" xfId="0" applyFont="1" applyBorder="1" applyAlignment="1">
      <alignment vertical="top" wrapText="1"/>
    </xf>
    <xf numFmtId="0" fontId="9" fillId="0" borderId="3" xfId="0" applyFont="1" applyBorder="1" applyAlignment="1">
      <alignment vertical="top" wrapText="1"/>
    </xf>
    <xf numFmtId="0" fontId="9" fillId="0" borderId="3" xfId="0" applyFont="1" applyBorder="1" applyAlignment="1">
      <alignment horizontal="center" vertical="top"/>
    </xf>
    <xf numFmtId="0" fontId="9" fillId="0" borderId="1" xfId="0" applyFont="1" applyBorder="1" applyAlignment="1">
      <alignment horizontal="center" vertical="top"/>
    </xf>
    <xf numFmtId="0" fontId="9" fillId="5" borderId="1" xfId="0" applyFont="1" applyFill="1" applyBorder="1" applyAlignment="1">
      <alignment horizontal="center" vertical="top" wrapText="1"/>
    </xf>
    <xf numFmtId="0" fontId="9" fillId="0" borderId="8" xfId="0" applyFont="1" applyBorder="1" applyAlignment="1">
      <alignment horizontal="center" vertical="top" wrapText="1"/>
    </xf>
    <xf numFmtId="0" fontId="9" fillId="5" borderId="3" xfId="0" applyFont="1" applyFill="1" applyBorder="1" applyAlignment="1">
      <alignment horizontal="center" vertical="top" wrapText="1"/>
    </xf>
    <xf numFmtId="0" fontId="9" fillId="0" borderId="0" xfId="0" applyFont="1" applyAlignment="1">
      <alignment horizontal="center"/>
    </xf>
    <xf numFmtId="0" fontId="1" fillId="6" borderId="1" xfId="0" applyFont="1" applyFill="1" applyBorder="1" applyAlignment="1">
      <alignment vertical="top" wrapText="1"/>
    </xf>
    <xf numFmtId="0" fontId="6" fillId="6" borderId="1" xfId="0" applyFont="1" applyFill="1" applyBorder="1" applyAlignment="1">
      <alignment horizontal="center" vertical="top" wrapText="1"/>
    </xf>
    <xf numFmtId="0" fontId="7" fillId="9" borderId="5" xfId="0" applyFont="1" applyFill="1" applyBorder="1" applyAlignment="1">
      <alignment horizontal="center" vertical="top" wrapText="1"/>
    </xf>
    <xf numFmtId="0" fontId="7" fillId="8" borderId="5" xfId="0" applyFont="1" applyFill="1" applyBorder="1" applyAlignment="1">
      <alignment horizontal="center" vertical="top" wrapText="1"/>
    </xf>
    <xf numFmtId="0" fontId="9" fillId="6" borderId="9" xfId="0" applyFont="1" applyFill="1" applyBorder="1" applyAlignment="1">
      <alignment vertical="top" wrapText="1"/>
    </xf>
    <xf numFmtId="0" fontId="9" fillId="0" borderId="8" xfId="0" applyFont="1" applyBorder="1" applyAlignment="1">
      <alignment vertical="top" wrapText="1"/>
    </xf>
    <xf numFmtId="0" fontId="3" fillId="5" borderId="8" xfId="0" applyFont="1" applyFill="1" applyBorder="1" applyAlignment="1">
      <alignment vertical="top" wrapText="1"/>
    </xf>
    <xf numFmtId="0" fontId="9" fillId="0" borderId="13" xfId="0" applyFont="1" applyBorder="1" applyAlignment="1">
      <alignment vertical="top" wrapText="1"/>
    </xf>
    <xf numFmtId="0" fontId="3" fillId="5" borderId="10" xfId="0" applyFont="1" applyFill="1" applyBorder="1" applyAlignment="1">
      <alignment vertical="top" wrapText="1"/>
    </xf>
    <xf numFmtId="0" fontId="6" fillId="6" borderId="5" xfId="0" applyFont="1" applyFill="1" applyBorder="1" applyAlignment="1">
      <alignment horizontal="center" vertical="top" wrapText="1"/>
    </xf>
    <xf numFmtId="0" fontId="6" fillId="6" borderId="9" xfId="0" applyFont="1" applyFill="1" applyBorder="1" applyAlignment="1">
      <alignment vertical="top" wrapText="1"/>
    </xf>
    <xf numFmtId="0" fontId="1" fillId="0" borderId="11" xfId="0" applyFont="1" applyBorder="1"/>
    <xf numFmtId="0" fontId="9" fillId="6" borderId="14" xfId="0" applyFont="1" applyFill="1" applyBorder="1" applyAlignment="1">
      <alignment vertical="top" wrapText="1"/>
    </xf>
    <xf numFmtId="0" fontId="6" fillId="6" borderId="14" xfId="0" applyFont="1" applyFill="1" applyBorder="1" applyAlignment="1">
      <alignment vertical="top" wrapText="1"/>
    </xf>
    <xf numFmtId="0" fontId="1" fillId="6" borderId="5" xfId="0" applyFont="1" applyFill="1" applyBorder="1" applyAlignment="1">
      <alignment vertical="top" wrapText="1"/>
    </xf>
    <xf numFmtId="49" fontId="12" fillId="0" borderId="1" xfId="0" applyNumberFormat="1" applyFont="1" applyBorder="1" applyAlignment="1">
      <alignment vertical="top"/>
    </xf>
    <xf numFmtId="49" fontId="0" fillId="5" borderId="1" xfId="0" applyNumberFormat="1" applyFill="1" applyBorder="1" applyAlignment="1">
      <alignment vertical="top"/>
    </xf>
    <xf numFmtId="49" fontId="0" fillId="0" borderId="0" xfId="0" applyNumberFormat="1" applyAlignment="1">
      <alignment vertical="top"/>
    </xf>
    <xf numFmtId="0" fontId="0" fillId="6" borderId="3" xfId="0" applyFill="1" applyBorder="1" applyAlignment="1">
      <alignment vertical="top" wrapText="1"/>
    </xf>
    <xf numFmtId="0" fontId="0" fillId="0" borderId="1" xfId="0" applyBorder="1" applyAlignment="1">
      <alignment horizontal="center" vertical="top" wrapText="1"/>
      <extLst>
        <ext xmlns:xfpb="http://schemas.microsoft.com/office/spreadsheetml/2022/featurepropertybag" uri="{C7286773-470A-42A8-94C5-96B5CB345126}">
          <xfpb:xfComplement i="0"/>
        </ext>
      </extLst>
    </xf>
    <xf numFmtId="0" fontId="0" fillId="0" borderId="1" xfId="0" applyBorder="1" applyAlignment="1">
      <alignment vertical="top" wrapText="1"/>
      <extLst>
        <ext xmlns:xfpb="http://schemas.microsoft.com/office/spreadsheetml/2022/featurepropertybag" uri="{C7286773-470A-42A8-94C5-96B5CB345126}">
          <xfpb:xfComplement i="0"/>
        </ext>
      </extLst>
    </xf>
    <xf numFmtId="0" fontId="0" fillId="0" borderId="3" xfId="0" applyBorder="1" applyAlignment="1">
      <alignment vertical="top" wrapText="1"/>
      <extLst>
        <ext xmlns:xfpb="http://schemas.microsoft.com/office/spreadsheetml/2022/featurepropertybag" uri="{C7286773-470A-42A8-94C5-96B5CB345126}">
          <xfpb:xfComplement i="0"/>
        </ext>
      </extLst>
    </xf>
    <xf numFmtId="0" fontId="13" fillId="0" borderId="0" xfId="0" applyFont="1" applyAlignment="1">
      <alignment vertical="top" wrapText="1"/>
    </xf>
    <xf numFmtId="49" fontId="12" fillId="0" borderId="1" xfId="0" applyNumberFormat="1" applyFont="1" applyBorder="1" applyAlignment="1">
      <alignment vertical="top" wrapText="1"/>
    </xf>
    <xf numFmtId="49" fontId="12" fillId="0" borderId="3" xfId="0" applyNumberFormat="1" applyFont="1" applyBorder="1" applyAlignment="1">
      <alignment vertical="top" wrapText="1"/>
    </xf>
    <xf numFmtId="49" fontId="12" fillId="0" borderId="0" xfId="0" applyNumberFormat="1" applyFont="1" applyAlignment="1">
      <alignment vertical="top" wrapText="1"/>
    </xf>
    <xf numFmtId="49" fontId="12" fillId="0" borderId="5" xfId="0" applyNumberFormat="1" applyFont="1" applyBorder="1" applyAlignment="1">
      <alignment vertical="top" wrapText="1"/>
    </xf>
    <xf numFmtId="0" fontId="9" fillId="6" borderId="10" xfId="0" applyFont="1" applyFill="1" applyBorder="1" applyAlignment="1">
      <alignment horizontal="center" vertical="top" wrapText="1"/>
    </xf>
    <xf numFmtId="0" fontId="9" fillId="0" borderId="3" xfId="0" applyFont="1" applyBorder="1" applyAlignment="1">
      <alignment horizontal="center" vertical="top" wrapText="1"/>
    </xf>
    <xf numFmtId="0" fontId="9" fillId="0" borderId="0" xfId="0" applyFont="1" applyAlignment="1">
      <alignment horizontal="center" vertical="top" wrapText="1"/>
    </xf>
    <xf numFmtId="0" fontId="12" fillId="6" borderId="3" xfId="0" applyFont="1" applyFill="1" applyBorder="1" applyAlignment="1">
      <alignment horizontal="center" vertical="top" wrapText="1"/>
    </xf>
    <xf numFmtId="0" fontId="7" fillId="7" borderId="1" xfId="0" applyFont="1" applyFill="1" applyBorder="1" applyAlignment="1">
      <alignment horizontal="center" vertical="top" wrapText="1"/>
    </xf>
    <xf numFmtId="0" fontId="7" fillId="4" borderId="3" xfId="0" applyFont="1" applyFill="1" applyBorder="1" applyAlignment="1">
      <alignment horizontal="center" vertical="top" wrapText="1"/>
    </xf>
    <xf numFmtId="0" fontId="12" fillId="0" borderId="0" xfId="0" applyFont="1" applyAlignment="1">
      <alignment horizontal="center" vertical="top" wrapText="1"/>
    </xf>
    <xf numFmtId="49" fontId="6" fillId="0" borderId="2" xfId="0" applyNumberFormat="1" applyFont="1" applyBorder="1" applyAlignment="1">
      <alignment horizontal="center" vertical="top" wrapText="1"/>
    </xf>
    <xf numFmtId="0" fontId="6" fillId="0" borderId="11" xfId="0" applyFont="1" applyBorder="1" applyAlignment="1">
      <alignment horizontal="center" vertical="top" wrapText="1"/>
    </xf>
    <xf numFmtId="0" fontId="6" fillId="0" borderId="11" xfId="0" applyFont="1" applyBorder="1" applyAlignment="1">
      <alignment horizontal="center" vertical="top" wrapText="1"/>
      <extLst>
        <ext xmlns:xfpb="http://schemas.microsoft.com/office/spreadsheetml/2022/featurepropertybag" uri="{C7286773-470A-42A8-94C5-96B5CB345126}">
          <xfpb:xfComplement i="0"/>
        </ext>
      </extLst>
    </xf>
    <xf numFmtId="0" fontId="6" fillId="0" borderId="0" xfId="0" applyFont="1" applyAlignment="1">
      <alignment horizontal="center" vertical="top" wrapText="1"/>
    </xf>
    <xf numFmtId="49" fontId="6" fillId="0" borderId="2" xfId="0" applyNumberFormat="1" applyFont="1" applyBorder="1" applyAlignment="1">
      <alignment horizontal="center" vertical="top"/>
    </xf>
    <xf numFmtId="0" fontId="6" fillId="0" borderId="2" xfId="0" applyFont="1" applyBorder="1" applyAlignment="1">
      <alignment horizontal="center" vertical="top" wrapText="1"/>
    </xf>
    <xf numFmtId="0" fontId="6" fillId="0" borderId="6" xfId="0" applyFont="1" applyBorder="1" applyAlignment="1">
      <alignment horizontal="center"/>
    </xf>
    <xf numFmtId="0" fontId="9" fillId="6" borderId="3" xfId="0" applyFont="1" applyFill="1" applyBorder="1" applyAlignment="1">
      <alignment vertical="top" wrapText="1"/>
    </xf>
    <xf numFmtId="0" fontId="9" fillId="0" borderId="5" xfId="0" applyFont="1" applyBorder="1" applyAlignment="1">
      <alignment vertical="top" wrapText="1"/>
    </xf>
    <xf numFmtId="0" fontId="9" fillId="6" borderId="0" xfId="0" applyFont="1" applyFill="1" applyAlignment="1">
      <alignment horizontal="center" vertical="top" wrapText="1"/>
    </xf>
    <xf numFmtId="0" fontId="9" fillId="6" borderId="0" xfId="0" applyFont="1" applyFill="1" applyAlignment="1">
      <alignment vertical="top" wrapText="1"/>
    </xf>
    <xf numFmtId="0" fontId="12" fillId="6" borderId="0" xfId="0" applyFont="1" applyFill="1" applyAlignment="1">
      <alignment horizontal="center" vertical="top" wrapText="1"/>
    </xf>
    <xf numFmtId="0" fontId="0" fillId="6" borderId="0" xfId="0" applyFill="1" applyAlignment="1">
      <alignment vertical="top" wrapText="1"/>
    </xf>
    <xf numFmtId="49" fontId="7" fillId="0" borderId="2" xfId="0" applyNumberFormat="1" applyFont="1" applyBorder="1" applyAlignment="1">
      <alignment horizontal="center" vertical="top" wrapText="1"/>
    </xf>
    <xf numFmtId="49" fontId="7" fillId="0" borderId="11" xfId="0" applyNumberFormat="1" applyFont="1" applyBorder="1" applyAlignment="1">
      <alignment horizontal="center" vertical="top" wrapText="1"/>
    </xf>
    <xf numFmtId="0" fontId="6" fillId="0" borderId="12" xfId="0" applyFont="1" applyBorder="1" applyAlignment="1">
      <alignment horizontal="center" vertical="top" wrapText="1"/>
    </xf>
    <xf numFmtId="0" fontId="6" fillId="0" borderId="7" xfId="0" applyFont="1" applyBorder="1" applyAlignment="1">
      <alignment horizontal="center" vertical="top" wrapText="1"/>
    </xf>
    <xf numFmtId="0" fontId="6" fillId="0" borderId="15" xfId="0" applyFont="1" applyBorder="1" applyAlignment="1">
      <alignment horizontal="center" vertical="top" wrapText="1"/>
    </xf>
    <xf numFmtId="0" fontId="6" fillId="6" borderId="5" xfId="0" applyFont="1" applyFill="1" applyBorder="1" applyAlignment="1">
      <alignment vertical="top" wrapText="1"/>
    </xf>
    <xf numFmtId="0" fontId="9" fillId="5" borderId="1" xfId="0" applyFont="1" applyFill="1" applyBorder="1" applyAlignment="1">
      <alignment vertical="top" wrapText="1"/>
    </xf>
    <xf numFmtId="0" fontId="6" fillId="6" borderId="1" xfId="0" applyFont="1" applyFill="1" applyBorder="1" applyAlignment="1">
      <alignment vertical="top" wrapText="1"/>
    </xf>
    <xf numFmtId="0" fontId="9" fillId="5" borderId="3" xfId="0" applyFont="1" applyFill="1" applyBorder="1" applyAlignment="1">
      <alignment vertical="top" wrapText="1"/>
    </xf>
    <xf numFmtId="0" fontId="9" fillId="0" borderId="0" xfId="0" applyFont="1"/>
  </cellXfs>
  <cellStyles count="1">
    <cellStyle name="Normal" xfId="0" builtinId="0"/>
  </cellStyles>
  <dxfs count="0"/>
  <tableStyles count="0" defaultTableStyle="TableStyleMedium2" defaultPivotStyle="PivotStyleLight16"/>
  <colors>
    <mruColors>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PolicyAnalyzer</a:t>
            </a:r>
            <a:r>
              <a:rPr lang="en-US" i="0" baseline="0"/>
              <a:t> Windows Server 2025 Control Baseline Comparison</a:t>
            </a:r>
            <a:endParaRPr lang="en-US"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9EDB-4F43-AB81-78F69192187C}"/>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9EDB-4F43-AB81-78F69192187C}"/>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3-9EDB-4F43-AB81-78F69192187C}"/>
              </c:ext>
            </c:extLst>
          </c:dPt>
          <c:cat>
            <c:strRef>
              <c:f>'Policy Analyzer Scan'!$G$1:$I$1</c:f>
              <c:strCache>
                <c:ptCount val="3"/>
                <c:pt idx="0">
                  <c:v>Controls passed</c:v>
                </c:pt>
                <c:pt idx="1">
                  <c:v>Controls Failed</c:v>
                </c:pt>
                <c:pt idx="2">
                  <c:v>Controls Conflicted</c:v>
                </c:pt>
              </c:strCache>
            </c:strRef>
          </c:cat>
          <c:val>
            <c:numRef>
              <c:f>'Policy Analyzer Scan'!$G$2:$I$2</c:f>
              <c:numCache>
                <c:formatCode>General</c:formatCode>
                <c:ptCount val="3"/>
                <c:pt idx="0">
                  <c:v>325</c:v>
                </c:pt>
                <c:pt idx="1">
                  <c:v>25</c:v>
                </c:pt>
                <c:pt idx="2">
                  <c:v>14</c:v>
                </c:pt>
              </c:numCache>
            </c:numRef>
          </c:val>
          <c:extLst>
            <c:ext xmlns:c16="http://schemas.microsoft.com/office/drawing/2014/chart" uri="{C3380CC4-5D6E-409C-BE32-E72D297353CC}">
              <c16:uniqueId val="{00000000-9EDB-4F43-AB81-78F69192187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13927</xdr:colOff>
      <xdr:row>1</xdr:row>
      <xdr:rowOff>1</xdr:rowOff>
    </xdr:from>
    <xdr:to>
      <xdr:col>5</xdr:col>
      <xdr:colOff>1</xdr:colOff>
      <xdr:row>18</xdr:row>
      <xdr:rowOff>183931</xdr:rowOff>
    </xdr:to>
    <xdr:graphicFrame macro="">
      <xdr:nvGraphicFramePr>
        <xdr:cNvPr id="4" name="Chart 3">
          <a:extLst>
            <a:ext uri="{FF2B5EF4-FFF2-40B4-BE49-F238E27FC236}">
              <a16:creationId xmlns:a16="http://schemas.microsoft.com/office/drawing/2014/main" id="{A4BE16F4-98FD-7829-D5FA-56A82F35C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496455</xdr:colOff>
      <xdr:row>13</xdr:row>
      <xdr:rowOff>969818</xdr:rowOff>
    </xdr:from>
    <xdr:ext cx="900545" cy="77354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7F5C36D-72AD-35D2-5C92-FFA4CDCCC173}"/>
                </a:ext>
              </a:extLst>
            </xdr:cNvPr>
            <xdr:cNvSpPr txBox="1"/>
          </xdr:nvSpPr>
          <xdr:spPr>
            <a:xfrm rot="10800000">
              <a:off x="3879273" y="15921182"/>
              <a:ext cx="900545" cy="773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r>
                      <a:rPr lang="en-US" sz="2800" i="1">
                        <a:latin typeface="Cambria Math" panose="02040503050406030204" pitchFamily="18" charset="0"/>
                      </a:rPr>
                      <m:t>⬆</m:t>
                    </m:r>
                  </m:oMath>
                </m:oMathPara>
              </a14:m>
              <a:endParaRPr lang="en-US" sz="2800"/>
            </a:p>
          </xdr:txBody>
        </xdr:sp>
      </mc:Choice>
      <mc:Fallback xmlns="">
        <xdr:sp macro="" textlink="">
          <xdr:nvSpPr>
            <xdr:cNvPr id="2" name="TextBox 1">
              <a:extLst>
                <a:ext uri="{FF2B5EF4-FFF2-40B4-BE49-F238E27FC236}">
                  <a16:creationId xmlns:a16="http://schemas.microsoft.com/office/drawing/2014/main" id="{B7F5C36D-72AD-35D2-5C92-FFA4CDCCC173}"/>
                </a:ext>
              </a:extLst>
            </xdr:cNvPr>
            <xdr:cNvSpPr txBox="1"/>
          </xdr:nvSpPr>
          <xdr:spPr>
            <a:xfrm rot="10800000">
              <a:off x="3879273" y="15921182"/>
              <a:ext cx="900545" cy="773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800" i="0">
                  <a:latin typeface="Cambria Math" panose="02040503050406030204" pitchFamily="18" charset="0"/>
                </a:rPr>
                <a:t>⬆</a:t>
              </a:r>
              <a:endParaRPr lang="en-US" sz="2800"/>
            </a:p>
          </xdr:txBody>
        </xdr:sp>
      </mc:Fallback>
    </mc:AlternateContent>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15040-0211-421A-A7CF-BCBA594357D5}">
  <dimension ref="A1:H29"/>
  <sheetViews>
    <sheetView tabSelected="1" zoomScale="63" workbookViewId="0">
      <selection activeCell="G11" sqref="G11"/>
    </sheetView>
  </sheetViews>
  <sheetFormatPr defaultRowHeight="14.4" x14ac:dyDescent="0.3"/>
  <cols>
    <col min="1" max="1" width="27.109375" customWidth="1"/>
    <col min="2" max="2" width="23.109375" customWidth="1"/>
    <col min="3" max="3" width="19.21875" customWidth="1"/>
    <col min="4" max="4" width="18.44140625" customWidth="1"/>
    <col min="5" max="5" width="27.77734375" customWidth="1"/>
    <col min="6" max="6" width="28.109375" customWidth="1"/>
    <col min="7" max="7" width="34" customWidth="1"/>
    <col min="8" max="8" width="22.33203125" customWidth="1"/>
    <col min="10" max="10" width="20" customWidth="1"/>
  </cols>
  <sheetData>
    <row r="1" spans="1:6" ht="15" thickBot="1" x14ac:dyDescent="0.35">
      <c r="A1" s="8" t="s">
        <v>467</v>
      </c>
    </row>
    <row r="2" spans="1:6" x14ac:dyDescent="0.3">
      <c r="F2" s="11" t="s">
        <v>466</v>
      </c>
    </row>
    <row r="3" spans="1:6" x14ac:dyDescent="0.3">
      <c r="F3" s="12"/>
    </row>
    <row r="4" spans="1:6" x14ac:dyDescent="0.3">
      <c r="F4" s="12" t="s">
        <v>468</v>
      </c>
    </row>
    <row r="5" spans="1:6" x14ac:dyDescent="0.3">
      <c r="F5" s="12"/>
    </row>
    <row r="6" spans="1:6" x14ac:dyDescent="0.3">
      <c r="F6" s="12" t="s">
        <v>469</v>
      </c>
    </row>
    <row r="7" spans="1:6" x14ac:dyDescent="0.3">
      <c r="F7" s="12"/>
    </row>
    <row r="8" spans="1:6" x14ac:dyDescent="0.3">
      <c r="F8" s="13" t="s">
        <v>470</v>
      </c>
    </row>
    <row r="21" spans="1:8" ht="15" thickBot="1" x14ac:dyDescent="0.35"/>
    <row r="22" spans="1:8" ht="15" thickBot="1" x14ac:dyDescent="0.35">
      <c r="A22" s="8" t="s">
        <v>591</v>
      </c>
    </row>
    <row r="23" spans="1:8" s="9" customFormat="1" x14ac:dyDescent="0.3">
      <c r="A23" s="7" t="s">
        <v>561</v>
      </c>
      <c r="B23" s="7" t="s">
        <v>0</v>
      </c>
      <c r="C23" s="7" t="s">
        <v>1</v>
      </c>
      <c r="D23" s="7" t="s">
        <v>4</v>
      </c>
      <c r="E23" s="7" t="s">
        <v>2</v>
      </c>
      <c r="F23" s="7" t="s">
        <v>3</v>
      </c>
      <c r="G23" s="7" t="s">
        <v>6</v>
      </c>
      <c r="H23" s="7" t="s">
        <v>5</v>
      </c>
    </row>
    <row r="24" spans="1:8" ht="116.4" customHeight="1" x14ac:dyDescent="0.3">
      <c r="A24" s="10" t="s">
        <v>598</v>
      </c>
      <c r="B24" s="10" t="s">
        <v>471</v>
      </c>
      <c r="C24" s="10" t="s">
        <v>473</v>
      </c>
      <c r="D24" s="10" t="s">
        <v>498</v>
      </c>
      <c r="E24" s="10" t="s">
        <v>521</v>
      </c>
      <c r="F24" s="10" t="s">
        <v>538</v>
      </c>
      <c r="G24" s="10" t="s">
        <v>556</v>
      </c>
      <c r="H24" s="10" t="s">
        <v>472</v>
      </c>
    </row>
    <row r="26" spans="1:8" ht="15" thickBot="1" x14ac:dyDescent="0.35"/>
    <row r="27" spans="1:8" x14ac:dyDescent="0.3">
      <c r="A27" s="51" t="s">
        <v>592</v>
      </c>
    </row>
    <row r="28" spans="1:8" x14ac:dyDescent="0.3">
      <c r="A28" s="7" t="s">
        <v>561</v>
      </c>
      <c r="B28" s="7" t="s">
        <v>4</v>
      </c>
      <c r="C28" s="7" t="s">
        <v>593</v>
      </c>
      <c r="D28" s="7" t="s">
        <v>594</v>
      </c>
      <c r="E28" s="7" t="s">
        <v>601</v>
      </c>
      <c r="F28" s="7" t="s">
        <v>595</v>
      </c>
    </row>
    <row r="29" spans="1:8" s="9" customFormat="1" ht="102.6" customHeight="1" x14ac:dyDescent="0.3">
      <c r="A29" s="10" t="s">
        <v>597</v>
      </c>
      <c r="B29" s="10" t="s">
        <v>498</v>
      </c>
      <c r="C29" s="10" t="s">
        <v>599</v>
      </c>
      <c r="D29" s="10" t="s">
        <v>521</v>
      </c>
      <c r="E29" s="10" t="s">
        <v>600</v>
      </c>
      <c r="F29" s="10" t="s">
        <v>596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DE03-F5B1-476C-8B70-4FEE4117EB35}">
  <dimension ref="A1:H33"/>
  <sheetViews>
    <sheetView zoomScale="69" workbookViewId="0">
      <selection activeCell="G33" sqref="G33"/>
    </sheetView>
  </sheetViews>
  <sheetFormatPr defaultRowHeight="18" x14ac:dyDescent="0.35"/>
  <cols>
    <col min="1" max="1" width="44.44140625" style="57" customWidth="1"/>
    <col min="2" max="2" width="44.6640625" style="19" customWidth="1"/>
    <col min="3" max="3" width="33.33203125" style="19" customWidth="1"/>
    <col min="4" max="4" width="20.6640625" style="22" customWidth="1"/>
    <col min="5" max="5" width="12.6640625" customWidth="1"/>
    <col min="6" max="6" width="25.109375" customWidth="1"/>
    <col min="7" max="7" width="31.109375" style="39" customWidth="1"/>
    <col min="8" max="8" width="19.88671875" style="96" customWidth="1"/>
  </cols>
  <sheetData>
    <row r="1" spans="1:8" s="80" customFormat="1" ht="36.6" thickBot="1" x14ac:dyDescent="0.4">
      <c r="A1" s="78" t="s">
        <v>561</v>
      </c>
      <c r="B1" s="79" t="s">
        <v>0</v>
      </c>
      <c r="C1" s="79" t="s">
        <v>1</v>
      </c>
      <c r="D1" s="79" t="s">
        <v>4</v>
      </c>
      <c r="E1" s="79" t="s">
        <v>2</v>
      </c>
      <c r="F1" s="79" t="s">
        <v>3</v>
      </c>
      <c r="G1" s="79" t="s">
        <v>6</v>
      </c>
      <c r="H1" s="79" t="s">
        <v>5</v>
      </c>
    </row>
    <row r="2" spans="1:8" s="1" customFormat="1" ht="22.2" customHeight="1" thickBot="1" x14ac:dyDescent="0.35">
      <c r="A2" s="91" t="s">
        <v>537</v>
      </c>
      <c r="B2" s="52"/>
      <c r="C2" s="53"/>
      <c r="D2" s="49"/>
      <c r="E2" s="54"/>
      <c r="F2" s="54"/>
      <c r="G2" s="49"/>
      <c r="H2" s="92"/>
    </row>
    <row r="3" spans="1:8" ht="195.6" customHeight="1" x14ac:dyDescent="0.3">
      <c r="A3" s="55" t="s">
        <v>562</v>
      </c>
      <c r="B3" s="45" t="s">
        <v>549</v>
      </c>
      <c r="C3" s="29" t="s">
        <v>583</v>
      </c>
      <c r="D3" s="28" t="s">
        <v>499</v>
      </c>
      <c r="E3" s="24" t="s">
        <v>524</v>
      </c>
      <c r="F3" s="10" t="s">
        <v>522</v>
      </c>
      <c r="G3" s="30" t="s">
        <v>692</v>
      </c>
      <c r="H3" s="29" t="s">
        <v>653</v>
      </c>
    </row>
    <row r="4" spans="1:8" ht="154.19999999999999" customHeight="1" x14ac:dyDescent="0.3">
      <c r="A4" s="55" t="s">
        <v>563</v>
      </c>
      <c r="B4" s="31" t="s">
        <v>548</v>
      </c>
      <c r="C4" s="29" t="s">
        <v>584</v>
      </c>
      <c r="D4" s="30" t="s">
        <v>496</v>
      </c>
      <c r="E4" s="25" t="s">
        <v>525</v>
      </c>
      <c r="F4" s="10" t="s">
        <v>603</v>
      </c>
      <c r="G4" s="30" t="s">
        <v>691</v>
      </c>
      <c r="H4" s="29" t="s">
        <v>654</v>
      </c>
    </row>
    <row r="5" spans="1:8" ht="166.2" customHeight="1" x14ac:dyDescent="0.3">
      <c r="A5" s="55" t="s">
        <v>564</v>
      </c>
      <c r="B5" s="45" t="s">
        <v>551</v>
      </c>
      <c r="C5" s="29" t="s">
        <v>585</v>
      </c>
      <c r="D5" s="30" t="s">
        <v>500</v>
      </c>
      <c r="E5" s="27" t="s">
        <v>526</v>
      </c>
      <c r="F5" s="10" t="s">
        <v>586</v>
      </c>
      <c r="G5" s="30" t="s">
        <v>690</v>
      </c>
      <c r="H5" s="29" t="s">
        <v>655</v>
      </c>
    </row>
    <row r="6" spans="1:8" ht="111.6" customHeight="1" x14ac:dyDescent="0.3">
      <c r="A6" s="55" t="s">
        <v>565</v>
      </c>
      <c r="B6" s="45" t="s">
        <v>550</v>
      </c>
      <c r="C6" s="29" t="s">
        <v>587</v>
      </c>
      <c r="D6" s="30" t="s">
        <v>497</v>
      </c>
      <c r="E6" s="26" t="s">
        <v>527</v>
      </c>
      <c r="F6" s="10" t="s">
        <v>483</v>
      </c>
      <c r="G6" s="30" t="s">
        <v>689</v>
      </c>
      <c r="H6" s="29" t="s">
        <v>657</v>
      </c>
    </row>
    <row r="7" spans="1:8" ht="18.600000000000001" thickBot="1" x14ac:dyDescent="0.35">
      <c r="A7" s="56"/>
      <c r="B7" s="46"/>
      <c r="C7" s="23"/>
      <c r="D7" s="20"/>
      <c r="E7" s="17"/>
      <c r="F7" s="17"/>
      <c r="G7" s="36"/>
      <c r="H7" s="93"/>
    </row>
    <row r="8" spans="1:8" s="1" customFormat="1" ht="18.600000000000001" thickBot="1" x14ac:dyDescent="0.35">
      <c r="A8" s="90" t="s">
        <v>532</v>
      </c>
      <c r="B8" s="44"/>
      <c r="C8" s="50"/>
      <c r="D8" s="41"/>
      <c r="E8" s="40"/>
      <c r="F8" s="40"/>
      <c r="G8" s="41"/>
      <c r="H8" s="94"/>
    </row>
    <row r="9" spans="1:8" ht="110.4" customHeight="1" x14ac:dyDescent="0.3">
      <c r="A9" s="55" t="s">
        <v>566</v>
      </c>
      <c r="B9" s="45" t="s">
        <v>494</v>
      </c>
      <c r="C9" s="29" t="s">
        <v>588</v>
      </c>
      <c r="D9" s="28" t="s">
        <v>501</v>
      </c>
      <c r="E9" s="26" t="s">
        <v>528</v>
      </c>
      <c r="F9" s="10" t="s">
        <v>490</v>
      </c>
      <c r="G9" s="30" t="s">
        <v>688</v>
      </c>
      <c r="H9" s="29" t="s">
        <v>658</v>
      </c>
    </row>
    <row r="10" spans="1:8" ht="138" customHeight="1" x14ac:dyDescent="0.3">
      <c r="A10" s="55" t="s">
        <v>567</v>
      </c>
      <c r="B10" s="45" t="s">
        <v>541</v>
      </c>
      <c r="C10" s="29" t="s">
        <v>495</v>
      </c>
      <c r="D10" s="30" t="s">
        <v>502</v>
      </c>
      <c r="E10" s="26" t="s">
        <v>527</v>
      </c>
      <c r="F10" s="10" t="s">
        <v>589</v>
      </c>
      <c r="G10" s="30" t="s">
        <v>681</v>
      </c>
      <c r="H10" s="29" t="s">
        <v>659</v>
      </c>
    </row>
    <row r="11" spans="1:8" ht="18.600000000000001" thickBot="1" x14ac:dyDescent="0.35">
      <c r="A11" s="56"/>
      <c r="B11" s="46"/>
      <c r="C11" s="23"/>
      <c r="D11" s="20"/>
      <c r="E11" s="15"/>
      <c r="F11" s="17"/>
      <c r="G11" s="36"/>
      <c r="H11" s="93"/>
    </row>
    <row r="12" spans="1:8" s="1" customFormat="1" ht="20.399999999999999" customHeight="1" thickBot="1" x14ac:dyDescent="0.35">
      <c r="A12" s="90" t="s">
        <v>533</v>
      </c>
      <c r="B12" s="44"/>
      <c r="C12" s="50"/>
      <c r="D12" s="41"/>
      <c r="E12" s="40"/>
      <c r="F12" s="40"/>
      <c r="G12" s="41"/>
      <c r="H12" s="94"/>
    </row>
    <row r="13" spans="1:8" ht="138.6" customHeight="1" x14ac:dyDescent="0.3">
      <c r="A13" s="55" t="s">
        <v>568</v>
      </c>
      <c r="B13" s="45" t="s">
        <v>552</v>
      </c>
      <c r="C13" s="29" t="s">
        <v>553</v>
      </c>
      <c r="D13" s="28" t="s">
        <v>504</v>
      </c>
      <c r="E13" s="42" t="s">
        <v>529</v>
      </c>
      <c r="F13" s="16" t="s">
        <v>606</v>
      </c>
      <c r="G13" s="30" t="s">
        <v>687</v>
      </c>
      <c r="H13" s="29" t="s">
        <v>660</v>
      </c>
    </row>
    <row r="14" spans="1:8" ht="139.19999999999999" customHeight="1" x14ac:dyDescent="0.3">
      <c r="A14" s="55" t="s">
        <v>569</v>
      </c>
      <c r="B14" s="45" t="s">
        <v>478</v>
      </c>
      <c r="C14" s="32" t="s">
        <v>590</v>
      </c>
      <c r="D14" s="30" t="s">
        <v>506</v>
      </c>
      <c r="E14" s="27" t="s">
        <v>526</v>
      </c>
      <c r="F14" s="10" t="s">
        <v>489</v>
      </c>
      <c r="G14" s="30" t="s">
        <v>686</v>
      </c>
      <c r="H14" s="29" t="s">
        <v>661</v>
      </c>
    </row>
    <row r="15" spans="1:8" ht="169.2" customHeight="1" x14ac:dyDescent="0.3">
      <c r="A15" s="55" t="s">
        <v>570</v>
      </c>
      <c r="B15" s="45" t="s">
        <v>555</v>
      </c>
      <c r="C15" s="29" t="s">
        <v>477</v>
      </c>
      <c r="D15" s="28" t="s">
        <v>503</v>
      </c>
      <c r="E15" s="26" t="s">
        <v>527</v>
      </c>
      <c r="F15" s="14" t="s">
        <v>530</v>
      </c>
      <c r="G15" s="37" t="s">
        <v>680</v>
      </c>
      <c r="H15" s="29" t="s">
        <v>663</v>
      </c>
    </row>
    <row r="16" spans="1:8" ht="153" customHeight="1" x14ac:dyDescent="0.3">
      <c r="A16" s="55" t="s">
        <v>571</v>
      </c>
      <c r="B16" s="45" t="s">
        <v>554</v>
      </c>
      <c r="C16" s="29" t="s">
        <v>492</v>
      </c>
      <c r="D16" s="28" t="s">
        <v>503</v>
      </c>
      <c r="E16" s="26" t="s">
        <v>527</v>
      </c>
      <c r="F16" s="14" t="s">
        <v>530</v>
      </c>
      <c r="G16" s="30" t="s">
        <v>679</v>
      </c>
      <c r="H16" s="29" t="s">
        <v>662</v>
      </c>
    </row>
    <row r="17" spans="1:8" x14ac:dyDescent="0.3">
      <c r="A17" s="56"/>
      <c r="B17" s="46"/>
      <c r="C17" s="23"/>
      <c r="D17" s="20"/>
      <c r="E17" s="15"/>
      <c r="F17" s="17"/>
      <c r="G17" s="36"/>
      <c r="H17" s="93"/>
    </row>
    <row r="18" spans="1:8" s="1" customFormat="1" x14ac:dyDescent="0.3">
      <c r="A18" s="89" t="s">
        <v>534</v>
      </c>
      <c r="B18" s="44"/>
      <c r="C18" s="50"/>
      <c r="D18" s="41"/>
      <c r="E18" s="40"/>
      <c r="F18" s="40"/>
      <c r="G18" s="41"/>
      <c r="H18" s="94"/>
    </row>
    <row r="19" spans="1:8" ht="136.80000000000001" customHeight="1" x14ac:dyDescent="0.3">
      <c r="A19" s="55" t="s">
        <v>572</v>
      </c>
      <c r="B19" s="45" t="s">
        <v>493</v>
      </c>
      <c r="C19" s="29" t="s">
        <v>476</v>
      </c>
      <c r="D19" s="28" t="s">
        <v>509</v>
      </c>
      <c r="E19" s="43" t="s">
        <v>531</v>
      </c>
      <c r="F19" s="10" t="s">
        <v>486</v>
      </c>
      <c r="G19" s="30" t="s">
        <v>685</v>
      </c>
      <c r="H19" s="29" t="s">
        <v>665</v>
      </c>
    </row>
    <row r="20" spans="1:8" ht="165.6" customHeight="1" x14ac:dyDescent="0.3">
      <c r="A20" s="55" t="s">
        <v>573</v>
      </c>
      <c r="B20" s="47" t="s">
        <v>480</v>
      </c>
      <c r="C20" s="29" t="s">
        <v>479</v>
      </c>
      <c r="D20" s="28" t="s">
        <v>508</v>
      </c>
      <c r="E20" s="27" t="s">
        <v>529</v>
      </c>
      <c r="F20" s="10" t="s">
        <v>523</v>
      </c>
      <c r="G20" s="30" t="s">
        <v>684</v>
      </c>
      <c r="H20" s="29" t="s">
        <v>664</v>
      </c>
    </row>
    <row r="21" spans="1:8" ht="169.2" customHeight="1" x14ac:dyDescent="0.3">
      <c r="A21" s="55" t="s">
        <v>574</v>
      </c>
      <c r="B21" s="45" t="s">
        <v>481</v>
      </c>
      <c r="C21" s="29" t="s">
        <v>484</v>
      </c>
      <c r="D21" s="30" t="s">
        <v>507</v>
      </c>
      <c r="E21" s="26" t="s">
        <v>528</v>
      </c>
      <c r="F21" s="10" t="s">
        <v>485</v>
      </c>
      <c r="G21" s="30" t="s">
        <v>678</v>
      </c>
      <c r="H21" s="29" t="s">
        <v>666</v>
      </c>
    </row>
    <row r="22" spans="1:8" ht="18.600000000000001" thickBot="1" x14ac:dyDescent="0.35">
      <c r="A22" s="56"/>
      <c r="B22" s="46"/>
      <c r="C22" s="23"/>
      <c r="D22" s="21"/>
      <c r="E22" s="15"/>
      <c r="F22" s="17"/>
      <c r="G22" s="36"/>
      <c r="H22" s="93"/>
    </row>
    <row r="23" spans="1:8" s="1" customFormat="1" ht="19.2" customHeight="1" thickBot="1" x14ac:dyDescent="0.35">
      <c r="A23" s="90" t="s">
        <v>535</v>
      </c>
      <c r="B23" s="44"/>
      <c r="C23" s="50"/>
      <c r="D23" s="41"/>
      <c r="E23" s="40"/>
      <c r="F23" s="40"/>
      <c r="G23" s="41"/>
      <c r="H23" s="94"/>
    </row>
    <row r="24" spans="1:8" ht="165" customHeight="1" x14ac:dyDescent="0.3">
      <c r="A24" s="55" t="s">
        <v>575</v>
      </c>
      <c r="B24" s="45" t="s">
        <v>545</v>
      </c>
      <c r="C24" s="29" t="s">
        <v>491</v>
      </c>
      <c r="D24" s="28" t="s">
        <v>512</v>
      </c>
      <c r="E24" s="43" t="s">
        <v>531</v>
      </c>
      <c r="F24" s="10" t="s">
        <v>539</v>
      </c>
      <c r="G24" s="30" t="s">
        <v>683</v>
      </c>
      <c r="H24" s="29" t="s">
        <v>669</v>
      </c>
    </row>
    <row r="25" spans="1:8" ht="150" customHeight="1" x14ac:dyDescent="0.3">
      <c r="A25" s="55" t="s">
        <v>576</v>
      </c>
      <c r="B25" s="45" t="s">
        <v>544</v>
      </c>
      <c r="C25" s="29" t="s">
        <v>475</v>
      </c>
      <c r="D25" s="30" t="s">
        <v>505</v>
      </c>
      <c r="E25" s="26" t="s">
        <v>527</v>
      </c>
      <c r="F25" s="10" t="s">
        <v>482</v>
      </c>
      <c r="G25" s="30" t="s">
        <v>682</v>
      </c>
      <c r="H25" s="29" t="s">
        <v>540</v>
      </c>
    </row>
    <row r="26" spans="1:8" ht="186" customHeight="1" x14ac:dyDescent="0.3">
      <c r="A26" s="55" t="s">
        <v>577</v>
      </c>
      <c r="B26" s="45" t="s">
        <v>542</v>
      </c>
      <c r="C26" s="29" t="s">
        <v>667</v>
      </c>
      <c r="D26" s="28" t="s">
        <v>511</v>
      </c>
      <c r="E26" s="26" t="s">
        <v>527</v>
      </c>
      <c r="F26" s="10" t="s">
        <v>668</v>
      </c>
      <c r="G26" s="30" t="s">
        <v>677</v>
      </c>
      <c r="H26" s="29" t="s">
        <v>670</v>
      </c>
    </row>
    <row r="27" spans="1:8" ht="187.8" customHeight="1" x14ac:dyDescent="0.3">
      <c r="A27" s="55" t="s">
        <v>578</v>
      </c>
      <c r="B27" s="45" t="s">
        <v>543</v>
      </c>
      <c r="C27" s="29" t="s">
        <v>547</v>
      </c>
      <c r="D27" s="30" t="s">
        <v>510</v>
      </c>
      <c r="E27" s="26" t="s">
        <v>527</v>
      </c>
      <c r="F27" s="10" t="s">
        <v>488</v>
      </c>
      <c r="G27" s="30" t="s">
        <v>676</v>
      </c>
      <c r="H27" s="29" t="s">
        <v>671</v>
      </c>
    </row>
    <row r="28" spans="1:8" ht="184.8" customHeight="1" x14ac:dyDescent="0.3">
      <c r="A28" s="55" t="s">
        <v>579</v>
      </c>
      <c r="B28" s="45" t="s">
        <v>474</v>
      </c>
      <c r="C28" s="33" t="s">
        <v>546</v>
      </c>
      <c r="D28" s="34" t="s">
        <v>511</v>
      </c>
      <c r="E28" s="26" t="s">
        <v>527</v>
      </c>
      <c r="F28" s="14" t="s">
        <v>487</v>
      </c>
      <c r="G28" s="30" t="s">
        <v>675</v>
      </c>
      <c r="H28" s="29" t="s">
        <v>672</v>
      </c>
    </row>
    <row r="29" spans="1:8" ht="13.2" customHeight="1" x14ac:dyDescent="0.3">
      <c r="A29" s="56"/>
      <c r="B29" s="48"/>
      <c r="C29" s="18"/>
      <c r="D29" s="20"/>
      <c r="E29" s="15"/>
      <c r="F29" s="15"/>
      <c r="G29" s="38"/>
      <c r="H29" s="95"/>
    </row>
    <row r="30" spans="1:8" x14ac:dyDescent="0.3">
      <c r="A30" s="89" t="s">
        <v>536</v>
      </c>
      <c r="B30" s="44"/>
      <c r="C30" s="50"/>
      <c r="D30" s="41"/>
      <c r="E30" s="40"/>
      <c r="F30" s="40"/>
      <c r="G30" s="41"/>
      <c r="H30" s="94"/>
    </row>
    <row r="31" spans="1:8" ht="118.8" customHeight="1" x14ac:dyDescent="0.3">
      <c r="A31" s="55" t="s">
        <v>580</v>
      </c>
      <c r="B31" s="45" t="s">
        <v>516</v>
      </c>
      <c r="C31" s="29" t="s">
        <v>647</v>
      </c>
      <c r="D31" s="28" t="s">
        <v>515</v>
      </c>
      <c r="E31" s="43" t="s">
        <v>531</v>
      </c>
      <c r="F31" s="10" t="s">
        <v>643</v>
      </c>
      <c r="G31" s="30" t="s">
        <v>674</v>
      </c>
      <c r="H31" s="29" t="s">
        <v>557</v>
      </c>
    </row>
    <row r="32" spans="1:8" ht="111" customHeight="1" x14ac:dyDescent="0.3">
      <c r="A32" s="55" t="s">
        <v>581</v>
      </c>
      <c r="B32" s="45" t="s">
        <v>514</v>
      </c>
      <c r="C32" s="29" t="s">
        <v>646</v>
      </c>
      <c r="D32" s="28" t="s">
        <v>513</v>
      </c>
      <c r="E32" s="27" t="s">
        <v>526</v>
      </c>
      <c r="F32" s="10" t="s">
        <v>520</v>
      </c>
      <c r="G32" s="30" t="s">
        <v>694</v>
      </c>
      <c r="H32" s="29" t="s">
        <v>558</v>
      </c>
    </row>
    <row r="33" spans="1:8" ht="168" customHeight="1" x14ac:dyDescent="0.3">
      <c r="A33" s="55" t="s">
        <v>582</v>
      </c>
      <c r="B33" s="45" t="s">
        <v>518</v>
      </c>
      <c r="C33" s="29" t="s">
        <v>519</v>
      </c>
      <c r="D33" s="35" t="s">
        <v>517</v>
      </c>
      <c r="E33" s="27" t="s">
        <v>526</v>
      </c>
      <c r="F33" s="10" t="s">
        <v>649</v>
      </c>
      <c r="G33" s="30" t="s">
        <v>694</v>
      </c>
      <c r="H33" s="29" t="s">
        <v>559</v>
      </c>
    </row>
  </sheetData>
  <phoneticPr fontId="11" type="noConversion"/>
  <conditionalFormatting sqref="G3">
    <cfRule type="colorScale" priority="1">
      <colorScale>
        <cfvo type="min"/>
        <cfvo type="max"/>
        <color rgb="FFFFEF9C"/>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24E55-A59E-4949-933A-1739064BE692}">
  <dimension ref="A1:H24"/>
  <sheetViews>
    <sheetView topLeftCell="A19" zoomScale="66" workbookViewId="0">
      <selection activeCell="E24" sqref="E24"/>
    </sheetView>
  </sheetViews>
  <sheetFormatPr defaultRowHeight="21" x14ac:dyDescent="0.3"/>
  <cols>
    <col min="1" max="1" width="31.77734375" style="65" customWidth="1"/>
    <col min="2" max="2" width="17.5546875" style="69" customWidth="1"/>
    <col min="3" max="3" width="28.109375" style="31" customWidth="1"/>
    <col min="4" max="4" width="18" style="73" customWidth="1"/>
    <col min="5" max="5" width="34.21875" style="9" customWidth="1"/>
    <col min="6" max="6" width="19.77734375" style="9" customWidth="1"/>
    <col min="7" max="16384" width="8.88671875" style="9"/>
  </cols>
  <sheetData>
    <row r="1" spans="1:8" s="77" customFormat="1" ht="36.6" thickBot="1" x14ac:dyDescent="0.35">
      <c r="A1" s="74" t="s">
        <v>561</v>
      </c>
      <c r="B1" s="75" t="s">
        <v>4</v>
      </c>
      <c r="C1" s="75" t="s">
        <v>593</v>
      </c>
      <c r="D1" s="75" t="s">
        <v>560</v>
      </c>
      <c r="E1" s="75" t="s">
        <v>601</v>
      </c>
      <c r="F1" s="76" t="s">
        <v>595</v>
      </c>
    </row>
    <row r="2" spans="1:8" ht="24" customHeight="1" thickBot="1" x14ac:dyDescent="0.35">
      <c r="A2" s="87" t="s">
        <v>673</v>
      </c>
      <c r="B2" s="67"/>
      <c r="C2" s="81"/>
      <c r="D2" s="70"/>
      <c r="E2" s="58"/>
      <c r="F2" s="58"/>
    </row>
    <row r="3" spans="1:8" ht="92.4" customHeight="1" x14ac:dyDescent="0.3">
      <c r="A3" s="66" t="s">
        <v>562</v>
      </c>
      <c r="B3" s="30" t="s">
        <v>499</v>
      </c>
      <c r="C3" s="29" t="s">
        <v>612</v>
      </c>
      <c r="D3" s="71" t="s">
        <v>602</v>
      </c>
      <c r="E3" s="10" t="s">
        <v>623</v>
      </c>
      <c r="F3" s="59" t="b">
        <v>0</v>
      </c>
      <c r="H3" s="62" t="s">
        <v>622</v>
      </c>
    </row>
    <row r="4" spans="1:8" ht="92.4" customHeight="1" x14ac:dyDescent="0.3">
      <c r="A4" s="63" t="s">
        <v>563</v>
      </c>
      <c r="B4" s="30" t="s">
        <v>496</v>
      </c>
      <c r="C4" s="29" t="s">
        <v>611</v>
      </c>
      <c r="D4" s="25" t="s">
        <v>604</v>
      </c>
      <c r="E4" s="10" t="s">
        <v>624</v>
      </c>
      <c r="F4" s="60" t="b">
        <v>0</v>
      </c>
    </row>
    <row r="5" spans="1:8" ht="96" customHeight="1" x14ac:dyDescent="0.3">
      <c r="A5" s="63" t="s">
        <v>572</v>
      </c>
      <c r="B5" s="30" t="s">
        <v>509</v>
      </c>
      <c r="C5" s="29" t="s">
        <v>610</v>
      </c>
      <c r="D5" s="25" t="s">
        <v>604</v>
      </c>
      <c r="E5" s="10" t="s">
        <v>625</v>
      </c>
      <c r="F5" s="60" t="b">
        <v>0</v>
      </c>
    </row>
    <row r="6" spans="1:8" ht="116.4" customHeight="1" x14ac:dyDescent="0.3">
      <c r="A6" s="63" t="s">
        <v>575</v>
      </c>
      <c r="B6" s="30" t="s">
        <v>512</v>
      </c>
      <c r="C6" s="29" t="s">
        <v>609</v>
      </c>
      <c r="D6" s="25" t="s">
        <v>604</v>
      </c>
      <c r="E6" s="10" t="s">
        <v>641</v>
      </c>
      <c r="F6" s="60" t="b">
        <v>0</v>
      </c>
    </row>
    <row r="7" spans="1:8" ht="92.4" customHeight="1" x14ac:dyDescent="0.3">
      <c r="A7" s="63" t="s">
        <v>564</v>
      </c>
      <c r="B7" s="30" t="s">
        <v>500</v>
      </c>
      <c r="C7" s="29" t="s">
        <v>608</v>
      </c>
      <c r="D7" s="27" t="s">
        <v>605</v>
      </c>
      <c r="E7" s="10" t="s">
        <v>656</v>
      </c>
      <c r="F7" s="60" t="b">
        <v>0</v>
      </c>
    </row>
    <row r="8" spans="1:8" ht="115.8" customHeight="1" x14ac:dyDescent="0.3">
      <c r="A8" s="63" t="s">
        <v>568</v>
      </c>
      <c r="B8" s="30" t="s">
        <v>504</v>
      </c>
      <c r="C8" s="29" t="s">
        <v>607</v>
      </c>
      <c r="D8" s="27" t="s">
        <v>605</v>
      </c>
      <c r="E8" s="10" t="s">
        <v>640</v>
      </c>
      <c r="F8" s="60" t="b">
        <v>0</v>
      </c>
    </row>
    <row r="9" spans="1:8" ht="120" customHeight="1" x14ac:dyDescent="0.3">
      <c r="A9" s="63" t="s">
        <v>569</v>
      </c>
      <c r="B9" s="30" t="s">
        <v>506</v>
      </c>
      <c r="C9" s="29" t="s">
        <v>613</v>
      </c>
      <c r="D9" s="27" t="s">
        <v>605</v>
      </c>
      <c r="E9" s="10" t="s">
        <v>626</v>
      </c>
      <c r="F9" s="60" t="b">
        <v>0</v>
      </c>
    </row>
    <row r="10" spans="1:8" ht="118.2" customHeight="1" x14ac:dyDescent="0.3">
      <c r="A10" s="63" t="s">
        <v>573</v>
      </c>
      <c r="B10" s="30" t="s">
        <v>508</v>
      </c>
      <c r="C10" s="29" t="s">
        <v>614</v>
      </c>
      <c r="D10" s="27" t="s">
        <v>605</v>
      </c>
      <c r="E10" s="10" t="s">
        <v>627</v>
      </c>
      <c r="F10" s="60" t="b">
        <v>0</v>
      </c>
    </row>
    <row r="11" spans="1:8" ht="78" customHeight="1" x14ac:dyDescent="0.3">
      <c r="A11" s="63" t="s">
        <v>565</v>
      </c>
      <c r="B11" s="30" t="s">
        <v>497</v>
      </c>
      <c r="C11" s="29" t="s">
        <v>616</v>
      </c>
      <c r="D11" s="26" t="s">
        <v>615</v>
      </c>
      <c r="E11" s="10" t="s">
        <v>628</v>
      </c>
      <c r="F11" s="60" t="b">
        <v>0</v>
      </c>
    </row>
    <row r="12" spans="1:8" ht="93" customHeight="1" x14ac:dyDescent="0.3">
      <c r="A12" s="63" t="s">
        <v>566</v>
      </c>
      <c r="B12" s="30" t="s">
        <v>501</v>
      </c>
      <c r="C12" s="29" t="s">
        <v>617</v>
      </c>
      <c r="D12" s="26" t="s">
        <v>615</v>
      </c>
      <c r="E12" s="10" t="s">
        <v>652</v>
      </c>
      <c r="F12" s="60" t="b">
        <v>0</v>
      </c>
    </row>
    <row r="13" spans="1:8" ht="116.4" customHeight="1" x14ac:dyDescent="0.3">
      <c r="A13" s="63" t="s">
        <v>567</v>
      </c>
      <c r="B13" s="30" t="s">
        <v>502</v>
      </c>
      <c r="C13" s="29" t="s">
        <v>618</v>
      </c>
      <c r="D13" s="26" t="s">
        <v>615</v>
      </c>
      <c r="E13" s="10" t="s">
        <v>639</v>
      </c>
      <c r="F13" s="60" t="b">
        <v>0</v>
      </c>
    </row>
    <row r="14" spans="1:8" ht="117" customHeight="1" x14ac:dyDescent="0.3">
      <c r="A14" s="64" t="s">
        <v>570</v>
      </c>
      <c r="B14" s="68" t="s">
        <v>503</v>
      </c>
      <c r="C14" s="33" t="s">
        <v>619</v>
      </c>
      <c r="D14" s="72" t="s">
        <v>615</v>
      </c>
      <c r="E14" s="14" t="s">
        <v>638</v>
      </c>
      <c r="F14" s="61" t="b">
        <v>0</v>
      </c>
    </row>
    <row r="15" spans="1:8" ht="77.400000000000006" customHeight="1" x14ac:dyDescent="0.3">
      <c r="A15" s="63" t="s">
        <v>571</v>
      </c>
      <c r="B15" s="30" t="s">
        <v>503</v>
      </c>
      <c r="C15" s="82"/>
      <c r="D15" s="26" t="s">
        <v>615</v>
      </c>
      <c r="E15" s="10" t="s">
        <v>637</v>
      </c>
      <c r="F15" s="60" t="b">
        <v>0</v>
      </c>
    </row>
    <row r="16" spans="1:8" ht="93" customHeight="1" x14ac:dyDescent="0.3">
      <c r="A16" s="63" t="s">
        <v>574</v>
      </c>
      <c r="B16" s="30" t="s">
        <v>507</v>
      </c>
      <c r="C16" s="29" t="s">
        <v>620</v>
      </c>
      <c r="D16" s="26" t="s">
        <v>615</v>
      </c>
      <c r="E16" s="10" t="s">
        <v>636</v>
      </c>
      <c r="F16" s="60" t="b">
        <v>0</v>
      </c>
    </row>
    <row r="17" spans="1:6" ht="81" customHeight="1" x14ac:dyDescent="0.3">
      <c r="A17" s="63" t="s">
        <v>576</v>
      </c>
      <c r="B17" s="30" t="s">
        <v>505</v>
      </c>
      <c r="C17" s="29" t="s">
        <v>621</v>
      </c>
      <c r="D17" s="26" t="s">
        <v>615</v>
      </c>
      <c r="E17" s="10" t="s">
        <v>629</v>
      </c>
      <c r="F17" s="60" t="b">
        <v>0</v>
      </c>
    </row>
    <row r="18" spans="1:6" ht="94.2" customHeight="1" x14ac:dyDescent="0.3">
      <c r="A18" s="63" t="s">
        <v>577</v>
      </c>
      <c r="B18" s="30" t="s">
        <v>511</v>
      </c>
      <c r="C18" s="29" t="s">
        <v>631</v>
      </c>
      <c r="D18" s="26" t="s">
        <v>615</v>
      </c>
      <c r="E18" s="10" t="s">
        <v>633</v>
      </c>
      <c r="F18" s="60" t="b">
        <v>0</v>
      </c>
    </row>
    <row r="19" spans="1:6" ht="108.6" customHeight="1" x14ac:dyDescent="0.3">
      <c r="A19" s="63" t="s">
        <v>578</v>
      </c>
      <c r="B19" s="30" t="s">
        <v>510</v>
      </c>
      <c r="C19" s="29" t="s">
        <v>630</v>
      </c>
      <c r="D19" s="26" t="s">
        <v>615</v>
      </c>
      <c r="E19" s="10" t="s">
        <v>634</v>
      </c>
      <c r="F19" s="60" t="b">
        <v>0</v>
      </c>
    </row>
    <row r="20" spans="1:6" ht="105" customHeight="1" thickBot="1" x14ac:dyDescent="0.35">
      <c r="A20" s="64" t="s">
        <v>579</v>
      </c>
      <c r="B20" s="30" t="s">
        <v>511</v>
      </c>
      <c r="C20" s="29" t="s">
        <v>632</v>
      </c>
      <c r="D20" s="26" t="s">
        <v>615</v>
      </c>
      <c r="E20" s="10" t="s">
        <v>635</v>
      </c>
      <c r="F20" s="60" t="b">
        <v>0</v>
      </c>
    </row>
    <row r="21" spans="1:6" ht="42.6" customHeight="1" x14ac:dyDescent="0.3">
      <c r="A21" s="88" t="s">
        <v>642</v>
      </c>
      <c r="B21" s="83"/>
      <c r="C21" s="84"/>
      <c r="D21" s="85"/>
      <c r="E21" s="86"/>
      <c r="F21" s="86"/>
    </row>
    <row r="22" spans="1:6" ht="112.8" customHeight="1" x14ac:dyDescent="0.3">
      <c r="A22" s="63" t="s">
        <v>580</v>
      </c>
      <c r="B22" s="30" t="s">
        <v>515</v>
      </c>
      <c r="C22" s="29" t="s">
        <v>644</v>
      </c>
      <c r="D22" s="25" t="s">
        <v>604</v>
      </c>
      <c r="E22" s="10" t="s">
        <v>693</v>
      </c>
      <c r="F22" s="60" t="b">
        <v>0</v>
      </c>
    </row>
    <row r="23" spans="1:6" ht="75.599999999999994" customHeight="1" x14ac:dyDescent="0.3">
      <c r="A23" s="63" t="s">
        <v>581</v>
      </c>
      <c r="B23" s="30" t="s">
        <v>513</v>
      </c>
      <c r="C23" s="29" t="s">
        <v>645</v>
      </c>
      <c r="D23" s="27" t="s">
        <v>605</v>
      </c>
      <c r="E23" s="10" t="s">
        <v>651</v>
      </c>
      <c r="F23" s="60" t="b">
        <v>0</v>
      </c>
    </row>
    <row r="24" spans="1:6" ht="120" customHeight="1" x14ac:dyDescent="0.3">
      <c r="A24" s="63" t="s">
        <v>582</v>
      </c>
      <c r="B24" s="35" t="s">
        <v>517</v>
      </c>
      <c r="C24" s="29" t="s">
        <v>648</v>
      </c>
      <c r="D24" s="27" t="s">
        <v>605</v>
      </c>
      <c r="E24" s="10" t="s">
        <v>650</v>
      </c>
      <c r="F24" s="60" t="b">
        <v>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8569-3F43-4BB0-87C4-B0179DF6A274}">
  <dimension ref="A1:I365"/>
  <sheetViews>
    <sheetView workbookViewId="0">
      <pane ySplit="1" topLeftCell="A223" activePane="bottomLeft" state="frozenSplit"/>
      <selection pane="bottomLeft" activeCell="C355" sqref="C355"/>
    </sheetView>
  </sheetViews>
  <sheetFormatPr defaultRowHeight="14.4" x14ac:dyDescent="0.3"/>
  <cols>
    <col min="1" max="1" width="15.33203125" style="2" bestFit="1" customWidth="1"/>
    <col min="2" max="2" width="45.77734375" style="2" customWidth="1"/>
    <col min="3" max="3" width="38.88671875" style="2" bestFit="1" customWidth="1"/>
    <col min="4" max="5" width="45.77734375" style="2" customWidth="1"/>
    <col min="7" max="7" width="14.88671875" customWidth="1"/>
    <col min="8" max="8" width="13.44140625" customWidth="1"/>
    <col min="10" max="16384" width="8.88671875" style="2"/>
  </cols>
  <sheetData>
    <row r="1" spans="1:9" x14ac:dyDescent="0.3">
      <c r="A1" s="6" t="s">
        <v>463</v>
      </c>
      <c r="B1" s="6" t="s">
        <v>462</v>
      </c>
      <c r="C1" s="6" t="s">
        <v>461</v>
      </c>
      <c r="D1" s="6" t="s">
        <v>460</v>
      </c>
      <c r="E1" s="6" t="s">
        <v>459</v>
      </c>
      <c r="F1" s="1" t="s">
        <v>458</v>
      </c>
      <c r="G1" s="6" t="s">
        <v>457</v>
      </c>
      <c r="H1" s="6" t="s">
        <v>456</v>
      </c>
      <c r="I1" s="1" t="s">
        <v>465</v>
      </c>
    </row>
    <row r="2" spans="1:9" x14ac:dyDescent="0.3">
      <c r="A2" s="2" t="s">
        <v>7</v>
      </c>
      <c r="B2" s="2" t="s">
        <v>8</v>
      </c>
      <c r="C2" s="2" t="s">
        <v>455</v>
      </c>
      <c r="D2" s="5" t="s">
        <v>30</v>
      </c>
      <c r="E2" s="5" t="s">
        <v>30</v>
      </c>
      <c r="F2" t="s">
        <v>464</v>
      </c>
      <c r="G2">
        <f>COUNTIF(F:F,"Pass")</f>
        <v>325</v>
      </c>
      <c r="H2">
        <f>COUNTIF(F:F,"fail")</f>
        <v>25</v>
      </c>
      <c r="I2">
        <f>COUNTIF(F:F,"Conflict")</f>
        <v>14</v>
      </c>
    </row>
    <row r="3" spans="1:9" x14ac:dyDescent="0.3">
      <c r="A3" s="2" t="s">
        <v>7</v>
      </c>
      <c r="B3" s="2" t="s">
        <v>8</v>
      </c>
      <c r="C3" s="2" t="s">
        <v>454</v>
      </c>
      <c r="D3" s="2" t="s">
        <v>416</v>
      </c>
      <c r="E3" s="2" t="s">
        <v>416</v>
      </c>
      <c r="F3" t="str">
        <f t="shared" ref="F3:F66" si="0">IF(D3=E3,"Pass","Fail")</f>
        <v>Pass</v>
      </c>
    </row>
    <row r="4" spans="1:9" x14ac:dyDescent="0.3">
      <c r="A4" s="2" t="s">
        <v>7</v>
      </c>
      <c r="B4" s="2" t="s">
        <v>8</v>
      </c>
      <c r="C4" s="2" t="s">
        <v>453</v>
      </c>
      <c r="D4" s="2" t="s">
        <v>425</v>
      </c>
      <c r="E4" s="2" t="s">
        <v>425</v>
      </c>
      <c r="F4" t="str">
        <f t="shared" si="0"/>
        <v>Pass</v>
      </c>
      <c r="G4">
        <f>325+25+14</f>
        <v>364</v>
      </c>
    </row>
    <row r="5" spans="1:9" x14ac:dyDescent="0.3">
      <c r="A5" s="2" t="s">
        <v>7</v>
      </c>
      <c r="B5" s="2" t="s">
        <v>449</v>
      </c>
      <c r="C5" s="2" t="s">
        <v>452</v>
      </c>
      <c r="D5" s="2" t="s">
        <v>419</v>
      </c>
      <c r="E5" s="2" t="s">
        <v>419</v>
      </c>
      <c r="F5" t="str">
        <f t="shared" si="0"/>
        <v>Pass</v>
      </c>
    </row>
    <row r="6" spans="1:9" x14ac:dyDescent="0.3">
      <c r="A6" s="2" t="s">
        <v>7</v>
      </c>
      <c r="B6" s="2" t="s">
        <v>449</v>
      </c>
      <c r="C6" s="2" t="s">
        <v>451</v>
      </c>
      <c r="D6" s="2" t="s">
        <v>419</v>
      </c>
      <c r="E6" s="2" t="s">
        <v>419</v>
      </c>
      <c r="F6" t="str">
        <f t="shared" si="0"/>
        <v>Pass</v>
      </c>
    </row>
    <row r="7" spans="1:9" x14ac:dyDescent="0.3">
      <c r="A7" s="2" t="s">
        <v>7</v>
      </c>
      <c r="B7" s="2" t="s">
        <v>449</v>
      </c>
      <c r="C7" s="2" t="s">
        <v>450</v>
      </c>
      <c r="D7" s="3" t="s">
        <v>419</v>
      </c>
      <c r="E7" s="3" t="s">
        <v>419</v>
      </c>
      <c r="F7" t="str">
        <f t="shared" si="0"/>
        <v>Pass</v>
      </c>
    </row>
    <row r="8" spans="1:9" x14ac:dyDescent="0.3">
      <c r="A8" s="2" t="s">
        <v>7</v>
      </c>
      <c r="B8" s="2" t="s">
        <v>449</v>
      </c>
      <c r="C8" s="2" t="s">
        <v>448</v>
      </c>
      <c r="D8" s="3" t="s">
        <v>416</v>
      </c>
      <c r="E8" s="3" t="s">
        <v>416</v>
      </c>
      <c r="F8" t="str">
        <f t="shared" si="0"/>
        <v>Pass</v>
      </c>
    </row>
    <row r="9" spans="1:9" x14ac:dyDescent="0.3">
      <c r="A9" s="2" t="s">
        <v>7</v>
      </c>
      <c r="B9" s="2" t="s">
        <v>446</v>
      </c>
      <c r="C9" s="2" t="s">
        <v>447</v>
      </c>
      <c r="D9" s="3" t="s">
        <v>419</v>
      </c>
      <c r="E9" s="3" t="s">
        <v>419</v>
      </c>
      <c r="F9" t="str">
        <f t="shared" si="0"/>
        <v>Pass</v>
      </c>
    </row>
    <row r="10" spans="1:9" x14ac:dyDescent="0.3">
      <c r="A10" s="2" t="s">
        <v>7</v>
      </c>
      <c r="B10" s="2" t="s">
        <v>446</v>
      </c>
      <c r="C10" s="2" t="s">
        <v>445</v>
      </c>
      <c r="D10" s="3" t="s">
        <v>419</v>
      </c>
      <c r="E10" s="3" t="s">
        <v>419</v>
      </c>
      <c r="F10" t="str">
        <f t="shared" si="0"/>
        <v>Pass</v>
      </c>
    </row>
    <row r="11" spans="1:9" x14ac:dyDescent="0.3">
      <c r="A11" s="2" t="s">
        <v>7</v>
      </c>
      <c r="B11" s="2" t="s">
        <v>443</v>
      </c>
      <c r="C11" s="2" t="s">
        <v>444</v>
      </c>
      <c r="D11" s="2" t="s">
        <v>425</v>
      </c>
      <c r="E11" s="2" t="s">
        <v>425</v>
      </c>
      <c r="F11" t="str">
        <f t="shared" si="0"/>
        <v>Pass</v>
      </c>
    </row>
    <row r="12" spans="1:9" x14ac:dyDescent="0.3">
      <c r="A12" s="2" t="s">
        <v>7</v>
      </c>
      <c r="B12" s="2" t="s">
        <v>443</v>
      </c>
      <c r="C12" s="2" t="s">
        <v>442</v>
      </c>
      <c r="D12" s="2" t="s">
        <v>419</v>
      </c>
      <c r="E12" s="2" t="s">
        <v>419</v>
      </c>
      <c r="F12" t="str">
        <f t="shared" si="0"/>
        <v>Pass</v>
      </c>
    </row>
    <row r="13" spans="1:9" x14ac:dyDescent="0.3">
      <c r="A13" s="2" t="s">
        <v>7</v>
      </c>
      <c r="B13" s="2" t="s">
        <v>437</v>
      </c>
      <c r="C13" s="2" t="s">
        <v>441</v>
      </c>
      <c r="D13" s="3" t="s">
        <v>425</v>
      </c>
      <c r="E13" s="3" t="s">
        <v>425</v>
      </c>
      <c r="F13" t="str">
        <f t="shared" si="0"/>
        <v>Pass</v>
      </c>
    </row>
    <row r="14" spans="1:9" x14ac:dyDescent="0.3">
      <c r="A14" s="2" t="s">
        <v>7</v>
      </c>
      <c r="B14" s="2" t="s">
        <v>437</v>
      </c>
      <c r="C14" s="2" t="s">
        <v>440</v>
      </c>
      <c r="D14" s="3" t="s">
        <v>419</v>
      </c>
      <c r="E14" s="3" t="s">
        <v>419</v>
      </c>
      <c r="F14" t="str">
        <f t="shared" si="0"/>
        <v>Pass</v>
      </c>
    </row>
    <row r="15" spans="1:9" x14ac:dyDescent="0.3">
      <c r="A15" s="2" t="s">
        <v>7</v>
      </c>
      <c r="B15" s="2" t="s">
        <v>437</v>
      </c>
      <c r="C15" s="2" t="s">
        <v>439</v>
      </c>
      <c r="D15" s="3" t="s">
        <v>416</v>
      </c>
      <c r="E15" s="3" t="s">
        <v>416</v>
      </c>
      <c r="F15" t="str">
        <f t="shared" si="0"/>
        <v>Pass</v>
      </c>
    </row>
    <row r="16" spans="1:9" x14ac:dyDescent="0.3">
      <c r="A16" s="2" t="s">
        <v>7</v>
      </c>
      <c r="B16" s="2" t="s">
        <v>437</v>
      </c>
      <c r="C16" s="2" t="s">
        <v>438</v>
      </c>
      <c r="D16" s="3" t="s">
        <v>416</v>
      </c>
      <c r="E16" s="3" t="s">
        <v>416</v>
      </c>
      <c r="F16" t="str">
        <f t="shared" si="0"/>
        <v>Pass</v>
      </c>
    </row>
    <row r="17" spans="1:6" x14ac:dyDescent="0.3">
      <c r="A17" s="2" t="s">
        <v>7</v>
      </c>
      <c r="B17" s="2" t="s">
        <v>437</v>
      </c>
      <c r="C17" s="2" t="s">
        <v>436</v>
      </c>
      <c r="D17" s="3" t="s">
        <v>419</v>
      </c>
      <c r="E17" s="3" t="s">
        <v>419</v>
      </c>
      <c r="F17" t="str">
        <f t="shared" si="0"/>
        <v>Pass</v>
      </c>
    </row>
    <row r="18" spans="1:6" x14ac:dyDescent="0.3">
      <c r="A18" s="2" t="s">
        <v>7</v>
      </c>
      <c r="B18" s="2" t="s">
        <v>432</v>
      </c>
      <c r="C18" s="2" t="s">
        <v>435</v>
      </c>
      <c r="D18" s="3" t="s">
        <v>425</v>
      </c>
      <c r="E18" s="3" t="s">
        <v>425</v>
      </c>
      <c r="F18" t="str">
        <f t="shared" si="0"/>
        <v>Pass</v>
      </c>
    </row>
    <row r="19" spans="1:6" x14ac:dyDescent="0.3">
      <c r="A19" s="2" t="s">
        <v>7</v>
      </c>
      <c r="B19" s="2" t="s">
        <v>432</v>
      </c>
      <c r="C19" s="2" t="s">
        <v>434</v>
      </c>
      <c r="D19" s="3" t="s">
        <v>416</v>
      </c>
      <c r="E19" s="3" t="s">
        <v>416</v>
      </c>
      <c r="F19" t="str">
        <f t="shared" si="0"/>
        <v>Pass</v>
      </c>
    </row>
    <row r="20" spans="1:6" x14ac:dyDescent="0.3">
      <c r="A20" s="2" t="s">
        <v>7</v>
      </c>
      <c r="B20" s="2" t="s">
        <v>432</v>
      </c>
      <c r="C20" s="2" t="s">
        <v>433</v>
      </c>
      <c r="D20" s="3" t="s">
        <v>416</v>
      </c>
      <c r="E20" s="3" t="s">
        <v>416</v>
      </c>
      <c r="F20" t="str">
        <f t="shared" si="0"/>
        <v>Pass</v>
      </c>
    </row>
    <row r="21" spans="1:6" x14ac:dyDescent="0.3">
      <c r="A21" s="2" t="s">
        <v>7</v>
      </c>
      <c r="B21" s="2" t="s">
        <v>432</v>
      </c>
      <c r="C21" s="2" t="s">
        <v>431</v>
      </c>
      <c r="D21" s="3" t="s">
        <v>416</v>
      </c>
      <c r="E21" s="3" t="s">
        <v>416</v>
      </c>
      <c r="F21" t="str">
        <f t="shared" si="0"/>
        <v>Pass</v>
      </c>
    </row>
    <row r="22" spans="1:6" x14ac:dyDescent="0.3">
      <c r="A22" s="2" t="s">
        <v>7</v>
      </c>
      <c r="B22" s="2" t="s">
        <v>427</v>
      </c>
      <c r="C22" s="2" t="s">
        <v>430</v>
      </c>
      <c r="D22" s="3" t="s">
        <v>419</v>
      </c>
      <c r="E22" s="3" t="s">
        <v>419</v>
      </c>
      <c r="F22" t="str">
        <f t="shared" si="0"/>
        <v>Pass</v>
      </c>
    </row>
    <row r="23" spans="1:6" x14ac:dyDescent="0.3">
      <c r="A23" s="2" t="s">
        <v>7</v>
      </c>
      <c r="B23" s="2" t="s">
        <v>427</v>
      </c>
      <c r="C23" s="2" t="s">
        <v>429</v>
      </c>
      <c r="D23" s="3" t="s">
        <v>419</v>
      </c>
      <c r="E23" s="3" t="s">
        <v>419</v>
      </c>
      <c r="F23" t="str">
        <f t="shared" si="0"/>
        <v>Pass</v>
      </c>
    </row>
    <row r="24" spans="1:6" x14ac:dyDescent="0.3">
      <c r="A24" s="2" t="s">
        <v>7</v>
      </c>
      <c r="B24" s="2" t="s">
        <v>427</v>
      </c>
      <c r="C24" s="2" t="s">
        <v>428</v>
      </c>
      <c r="D24" s="3" t="s">
        <v>416</v>
      </c>
      <c r="E24" s="3" t="s">
        <v>416</v>
      </c>
      <c r="F24" t="str">
        <f t="shared" si="0"/>
        <v>Pass</v>
      </c>
    </row>
    <row r="25" spans="1:6" x14ac:dyDescent="0.3">
      <c r="A25" s="2" t="s">
        <v>7</v>
      </c>
      <c r="B25" s="2" t="s">
        <v>427</v>
      </c>
      <c r="C25" s="2" t="s">
        <v>426</v>
      </c>
      <c r="D25" s="3" t="s">
        <v>425</v>
      </c>
      <c r="E25" s="3" t="s">
        <v>425</v>
      </c>
      <c r="F25" t="str">
        <f t="shared" si="0"/>
        <v>Pass</v>
      </c>
    </row>
    <row r="26" spans="1:6" x14ac:dyDescent="0.3">
      <c r="A26" s="2" t="s">
        <v>7</v>
      </c>
      <c r="B26" s="2" t="s">
        <v>424</v>
      </c>
      <c r="C26" s="2" t="s">
        <v>423</v>
      </c>
      <c r="D26" s="3" t="s">
        <v>416</v>
      </c>
      <c r="E26" s="3" t="s">
        <v>416</v>
      </c>
      <c r="F26" t="str">
        <f t="shared" si="0"/>
        <v>Pass</v>
      </c>
    </row>
    <row r="27" spans="1:6" x14ac:dyDescent="0.3">
      <c r="A27" s="2" t="s">
        <v>7</v>
      </c>
      <c r="B27" s="2" t="s">
        <v>418</v>
      </c>
      <c r="C27" s="2" t="s">
        <v>422</v>
      </c>
      <c r="D27" s="3" t="s">
        <v>416</v>
      </c>
      <c r="E27" s="3" t="s">
        <v>416</v>
      </c>
      <c r="F27" t="str">
        <f t="shared" si="0"/>
        <v>Pass</v>
      </c>
    </row>
    <row r="28" spans="1:6" x14ac:dyDescent="0.3">
      <c r="A28" s="2" t="s">
        <v>7</v>
      </c>
      <c r="B28" s="2" t="s">
        <v>418</v>
      </c>
      <c r="C28" s="2" t="s">
        <v>421</v>
      </c>
      <c r="D28" s="3" t="s">
        <v>419</v>
      </c>
      <c r="E28" s="3" t="s">
        <v>419</v>
      </c>
      <c r="F28" t="str">
        <f t="shared" si="0"/>
        <v>Pass</v>
      </c>
    </row>
    <row r="29" spans="1:6" x14ac:dyDescent="0.3">
      <c r="A29" s="2" t="s">
        <v>7</v>
      </c>
      <c r="B29" s="2" t="s">
        <v>418</v>
      </c>
      <c r="C29" s="2" t="s">
        <v>420</v>
      </c>
      <c r="D29" s="3" t="s">
        <v>419</v>
      </c>
      <c r="E29" s="3" t="s">
        <v>419</v>
      </c>
      <c r="F29" t="str">
        <f t="shared" si="0"/>
        <v>Pass</v>
      </c>
    </row>
    <row r="30" spans="1:6" x14ac:dyDescent="0.3">
      <c r="A30" s="2" t="s">
        <v>7</v>
      </c>
      <c r="B30" s="2" t="s">
        <v>418</v>
      </c>
      <c r="C30" s="2" t="s">
        <v>417</v>
      </c>
      <c r="D30" s="3" t="s">
        <v>416</v>
      </c>
      <c r="E30" s="3" t="s">
        <v>416</v>
      </c>
      <c r="F30" t="str">
        <f t="shared" si="0"/>
        <v>Pass</v>
      </c>
    </row>
    <row r="31" spans="1:6" x14ac:dyDescent="0.3">
      <c r="A31" s="2" t="s">
        <v>413</v>
      </c>
      <c r="B31" s="2" t="s">
        <v>415</v>
      </c>
      <c r="C31" s="2" t="s">
        <v>414</v>
      </c>
      <c r="D31" s="2" t="s">
        <v>21</v>
      </c>
      <c r="E31" s="2" t="s">
        <v>21</v>
      </c>
      <c r="F31" t="str">
        <f t="shared" si="0"/>
        <v>Pass</v>
      </c>
    </row>
    <row r="32" spans="1:6" x14ac:dyDescent="0.3">
      <c r="A32" s="2" t="s">
        <v>413</v>
      </c>
      <c r="B32" s="2" t="s">
        <v>374</v>
      </c>
      <c r="C32" s="2" t="s">
        <v>414</v>
      </c>
      <c r="D32" s="2" t="s">
        <v>411</v>
      </c>
      <c r="E32" s="2" t="s">
        <v>411</v>
      </c>
      <c r="F32" t="str">
        <f t="shared" si="0"/>
        <v>Pass</v>
      </c>
    </row>
    <row r="33" spans="1:6" x14ac:dyDescent="0.3">
      <c r="A33" s="2" t="s">
        <v>413</v>
      </c>
      <c r="B33" s="2" t="s">
        <v>374</v>
      </c>
      <c r="C33" s="2" t="s">
        <v>412</v>
      </c>
      <c r="D33" s="2" t="s">
        <v>411</v>
      </c>
      <c r="E33" s="2" t="s">
        <v>411</v>
      </c>
      <c r="F33" t="str">
        <f t="shared" si="0"/>
        <v>Pass</v>
      </c>
    </row>
    <row r="34" spans="1:6" x14ac:dyDescent="0.3">
      <c r="A34" s="2" t="s">
        <v>98</v>
      </c>
      <c r="B34" s="2" t="s">
        <v>410</v>
      </c>
      <c r="C34" s="2" t="s">
        <v>409</v>
      </c>
      <c r="D34" s="3" t="s">
        <v>21</v>
      </c>
      <c r="E34" s="3" t="s">
        <v>21</v>
      </c>
      <c r="F34" t="str">
        <f t="shared" si="0"/>
        <v>Pass</v>
      </c>
    </row>
    <row r="35" spans="1:6" x14ac:dyDescent="0.3">
      <c r="A35" s="2" t="s">
        <v>98</v>
      </c>
      <c r="B35" s="2" t="s">
        <v>407</v>
      </c>
      <c r="C35" s="2" t="s">
        <v>408</v>
      </c>
      <c r="D35" s="3" t="s">
        <v>21</v>
      </c>
      <c r="E35" s="3" t="s">
        <v>21</v>
      </c>
      <c r="F35" t="str">
        <f t="shared" si="0"/>
        <v>Pass</v>
      </c>
    </row>
    <row r="36" spans="1:6" x14ac:dyDescent="0.3">
      <c r="A36" s="2" t="s">
        <v>98</v>
      </c>
      <c r="B36" s="2" t="s">
        <v>407</v>
      </c>
      <c r="C36" s="2" t="s">
        <v>406</v>
      </c>
      <c r="D36" s="3" t="s">
        <v>405</v>
      </c>
      <c r="E36" s="3" t="s">
        <v>405</v>
      </c>
      <c r="F36" t="str">
        <f t="shared" si="0"/>
        <v>Pass</v>
      </c>
    </row>
    <row r="37" spans="1:6" x14ac:dyDescent="0.3">
      <c r="A37" s="2" t="s">
        <v>98</v>
      </c>
      <c r="B37" s="2" t="s">
        <v>403</v>
      </c>
      <c r="C37" s="2" t="s">
        <v>404</v>
      </c>
      <c r="D37" s="2" t="s">
        <v>17</v>
      </c>
      <c r="E37" s="2" t="s">
        <v>17</v>
      </c>
      <c r="F37" t="str">
        <f t="shared" si="0"/>
        <v>Pass</v>
      </c>
    </row>
    <row r="38" spans="1:6" x14ac:dyDescent="0.3">
      <c r="A38" s="2" t="s">
        <v>98</v>
      </c>
      <c r="B38" s="2" t="s">
        <v>403</v>
      </c>
      <c r="C38" s="2" t="s">
        <v>402</v>
      </c>
      <c r="D38" s="2" t="s">
        <v>21</v>
      </c>
      <c r="E38" s="2" t="s">
        <v>21</v>
      </c>
      <c r="F38" t="str">
        <f t="shared" si="0"/>
        <v>Pass</v>
      </c>
    </row>
    <row r="39" spans="1:6" x14ac:dyDescent="0.3">
      <c r="A39" s="2" t="s">
        <v>98</v>
      </c>
      <c r="B39" s="2" t="s">
        <v>391</v>
      </c>
      <c r="C39" s="2" t="s">
        <v>401</v>
      </c>
      <c r="D39" s="3" t="s">
        <v>95</v>
      </c>
      <c r="E39" s="3" t="s">
        <v>95</v>
      </c>
      <c r="F39" t="str">
        <f t="shared" si="0"/>
        <v>Pass</v>
      </c>
    </row>
    <row r="40" spans="1:6" x14ac:dyDescent="0.3">
      <c r="A40" s="2" t="s">
        <v>98</v>
      </c>
      <c r="B40" s="2" t="s">
        <v>391</v>
      </c>
      <c r="C40" s="2" t="s">
        <v>400</v>
      </c>
      <c r="D40" s="3" t="s">
        <v>17</v>
      </c>
      <c r="E40" s="3" t="s">
        <v>17</v>
      </c>
      <c r="F40" t="str">
        <f t="shared" si="0"/>
        <v>Pass</v>
      </c>
    </row>
    <row r="41" spans="1:6" x14ac:dyDescent="0.3">
      <c r="A41" s="2" t="s">
        <v>98</v>
      </c>
      <c r="B41" s="2" t="s">
        <v>391</v>
      </c>
      <c r="C41" s="2" t="s">
        <v>399</v>
      </c>
      <c r="D41" s="3" t="s">
        <v>21</v>
      </c>
      <c r="E41" s="3" t="s">
        <v>21</v>
      </c>
      <c r="F41" t="str">
        <f t="shared" si="0"/>
        <v>Pass</v>
      </c>
    </row>
    <row r="42" spans="1:6" x14ac:dyDescent="0.3">
      <c r="A42" s="2" t="s">
        <v>98</v>
      </c>
      <c r="B42" s="2" t="s">
        <v>391</v>
      </c>
      <c r="C42" s="2" t="s">
        <v>398</v>
      </c>
      <c r="D42" s="3" t="s">
        <v>21</v>
      </c>
      <c r="E42" s="3" t="s">
        <v>21</v>
      </c>
      <c r="F42" t="str">
        <f t="shared" si="0"/>
        <v>Pass</v>
      </c>
    </row>
    <row r="43" spans="1:6" x14ac:dyDescent="0.3">
      <c r="A43" s="2" t="s">
        <v>98</v>
      </c>
      <c r="B43" s="2" t="s">
        <v>391</v>
      </c>
      <c r="C43" s="2" t="s">
        <v>397</v>
      </c>
      <c r="D43" s="3" t="s">
        <v>21</v>
      </c>
      <c r="E43" s="3" t="s">
        <v>21</v>
      </c>
      <c r="F43" t="str">
        <f t="shared" si="0"/>
        <v>Pass</v>
      </c>
    </row>
    <row r="44" spans="1:6" x14ac:dyDescent="0.3">
      <c r="A44" s="2" t="s">
        <v>98</v>
      </c>
      <c r="B44" s="2" t="s">
        <v>391</v>
      </c>
      <c r="C44" s="2" t="s">
        <v>396</v>
      </c>
      <c r="D44" s="3" t="s">
        <v>21</v>
      </c>
      <c r="E44" s="3" t="s">
        <v>21</v>
      </c>
      <c r="F44" t="str">
        <f t="shared" si="0"/>
        <v>Pass</v>
      </c>
    </row>
    <row r="45" spans="1:6" x14ac:dyDescent="0.3">
      <c r="A45" s="2" t="s">
        <v>98</v>
      </c>
      <c r="B45" s="2" t="s">
        <v>391</v>
      </c>
      <c r="C45" s="2" t="s">
        <v>395</v>
      </c>
      <c r="D45" s="3" t="s">
        <v>21</v>
      </c>
      <c r="E45" s="3" t="s">
        <v>21</v>
      </c>
      <c r="F45" t="str">
        <f t="shared" si="0"/>
        <v>Pass</v>
      </c>
    </row>
    <row r="46" spans="1:6" x14ac:dyDescent="0.3">
      <c r="A46" s="2" t="s">
        <v>98</v>
      </c>
      <c r="B46" s="2" t="s">
        <v>391</v>
      </c>
      <c r="C46" s="2" t="s">
        <v>394</v>
      </c>
      <c r="D46" s="3" t="s">
        <v>21</v>
      </c>
      <c r="E46" s="3" t="s">
        <v>21</v>
      </c>
      <c r="F46" t="str">
        <f t="shared" si="0"/>
        <v>Pass</v>
      </c>
    </row>
    <row r="47" spans="1:6" x14ac:dyDescent="0.3">
      <c r="A47" s="2" t="s">
        <v>98</v>
      </c>
      <c r="B47" s="2" t="s">
        <v>391</v>
      </c>
      <c r="C47" s="2" t="s">
        <v>393</v>
      </c>
      <c r="D47" s="3" t="s">
        <v>392</v>
      </c>
      <c r="E47" s="3" t="s">
        <v>392</v>
      </c>
      <c r="F47" t="str">
        <f t="shared" si="0"/>
        <v>Pass</v>
      </c>
    </row>
    <row r="48" spans="1:6" x14ac:dyDescent="0.3">
      <c r="A48" s="2" t="s">
        <v>98</v>
      </c>
      <c r="B48" s="2" t="s">
        <v>391</v>
      </c>
      <c r="C48" s="2" t="s">
        <v>390</v>
      </c>
      <c r="D48" s="2" t="s">
        <v>17</v>
      </c>
      <c r="E48" s="2" t="s">
        <v>17</v>
      </c>
      <c r="F48" t="str">
        <f t="shared" si="0"/>
        <v>Pass</v>
      </c>
    </row>
    <row r="49" spans="1:6" x14ac:dyDescent="0.3">
      <c r="A49" s="2" t="s">
        <v>98</v>
      </c>
      <c r="B49" s="2" t="s">
        <v>389</v>
      </c>
      <c r="C49" s="2" t="s">
        <v>388</v>
      </c>
      <c r="D49" s="3" t="s">
        <v>17</v>
      </c>
      <c r="E49" s="3" t="s">
        <v>17</v>
      </c>
      <c r="F49" t="str">
        <f t="shared" si="0"/>
        <v>Pass</v>
      </c>
    </row>
    <row r="50" spans="1:6" x14ac:dyDescent="0.3">
      <c r="A50" s="2" t="s">
        <v>98</v>
      </c>
      <c r="B50" s="2" t="s">
        <v>387</v>
      </c>
      <c r="C50" s="2" t="s">
        <v>386</v>
      </c>
      <c r="D50" s="2" t="s">
        <v>21</v>
      </c>
      <c r="E50" s="2" t="s">
        <v>21</v>
      </c>
      <c r="F50" t="str">
        <f t="shared" si="0"/>
        <v>Pass</v>
      </c>
    </row>
    <row r="51" spans="1:6" x14ac:dyDescent="0.3">
      <c r="A51" s="2" t="s">
        <v>98</v>
      </c>
      <c r="B51" s="2" t="s">
        <v>385</v>
      </c>
      <c r="C51" s="2" t="s">
        <v>384</v>
      </c>
      <c r="D51" s="3" t="s">
        <v>21</v>
      </c>
      <c r="E51" s="3" t="s">
        <v>21</v>
      </c>
      <c r="F51" t="str">
        <f t="shared" si="0"/>
        <v>Pass</v>
      </c>
    </row>
    <row r="52" spans="1:6" x14ac:dyDescent="0.3">
      <c r="A52" s="2" t="s">
        <v>98</v>
      </c>
      <c r="B52" s="2" t="s">
        <v>381</v>
      </c>
      <c r="C52" s="2" t="s">
        <v>383</v>
      </c>
      <c r="D52" s="2" t="s">
        <v>382</v>
      </c>
      <c r="E52" s="2" t="s">
        <v>382</v>
      </c>
      <c r="F52" t="str">
        <f t="shared" si="0"/>
        <v>Pass</v>
      </c>
    </row>
    <row r="53" spans="1:6" x14ac:dyDescent="0.3">
      <c r="A53" s="2" t="s">
        <v>98</v>
      </c>
      <c r="B53" s="2" t="s">
        <v>381</v>
      </c>
      <c r="C53" s="2" t="s">
        <v>380</v>
      </c>
      <c r="D53" s="2" t="s">
        <v>17</v>
      </c>
      <c r="E53" s="2" t="s">
        <v>17</v>
      </c>
      <c r="F53" t="str">
        <f t="shared" si="0"/>
        <v>Pass</v>
      </c>
    </row>
    <row r="54" spans="1:6" x14ac:dyDescent="0.3">
      <c r="A54" s="2" t="s">
        <v>98</v>
      </c>
      <c r="B54" s="2" t="s">
        <v>379</v>
      </c>
      <c r="C54" s="2" t="s">
        <v>378</v>
      </c>
      <c r="D54" s="3" t="s">
        <v>21</v>
      </c>
      <c r="E54" s="3" t="s">
        <v>21</v>
      </c>
      <c r="F54" t="str">
        <f t="shared" si="0"/>
        <v>Pass</v>
      </c>
    </row>
    <row r="55" spans="1:6" x14ac:dyDescent="0.3">
      <c r="A55" s="2" t="s">
        <v>98</v>
      </c>
      <c r="B55" s="2" t="s">
        <v>374</v>
      </c>
      <c r="C55" s="2" t="s">
        <v>377</v>
      </c>
      <c r="D55" s="2" t="s">
        <v>21</v>
      </c>
      <c r="E55" s="2" t="s">
        <v>21</v>
      </c>
      <c r="F55" t="str">
        <f t="shared" si="0"/>
        <v>Pass</v>
      </c>
    </row>
    <row r="56" spans="1:6" x14ac:dyDescent="0.3">
      <c r="A56" s="2" t="s">
        <v>98</v>
      </c>
      <c r="B56" s="2" t="s">
        <v>374</v>
      </c>
      <c r="C56" s="2" t="s">
        <v>376</v>
      </c>
      <c r="D56" s="2" t="s">
        <v>375</v>
      </c>
      <c r="E56" s="2" t="s">
        <v>375</v>
      </c>
      <c r="F56" t="str">
        <f t="shared" si="0"/>
        <v>Pass</v>
      </c>
    </row>
    <row r="57" spans="1:6" x14ac:dyDescent="0.3">
      <c r="A57" s="2" t="s">
        <v>98</v>
      </c>
      <c r="B57" s="2" t="s">
        <v>374</v>
      </c>
      <c r="C57" s="2" t="s">
        <v>373</v>
      </c>
      <c r="D57" s="2" t="s">
        <v>21</v>
      </c>
      <c r="E57" s="2" t="s">
        <v>21</v>
      </c>
      <c r="F57" t="str">
        <f t="shared" si="0"/>
        <v>Pass</v>
      </c>
    </row>
    <row r="58" spans="1:6" x14ac:dyDescent="0.3">
      <c r="A58" s="2" t="s">
        <v>98</v>
      </c>
      <c r="B58" s="2" t="s">
        <v>372</v>
      </c>
      <c r="C58" s="2" t="s">
        <v>365</v>
      </c>
      <c r="D58" s="2" t="s">
        <v>21</v>
      </c>
      <c r="E58" s="2" t="s">
        <v>21</v>
      </c>
      <c r="F58" t="str">
        <f t="shared" si="0"/>
        <v>Pass</v>
      </c>
    </row>
    <row r="59" spans="1:6" x14ac:dyDescent="0.3">
      <c r="A59" s="2" t="s">
        <v>98</v>
      </c>
      <c r="B59" s="2" t="s">
        <v>372</v>
      </c>
      <c r="C59" s="2" t="s">
        <v>364</v>
      </c>
      <c r="D59" s="2" t="s">
        <v>21</v>
      </c>
      <c r="E59" s="2" t="s">
        <v>21</v>
      </c>
      <c r="F59" t="str">
        <f t="shared" si="0"/>
        <v>Pass</v>
      </c>
    </row>
    <row r="60" spans="1:6" x14ac:dyDescent="0.3">
      <c r="A60" s="2" t="s">
        <v>98</v>
      </c>
      <c r="B60" s="2" t="s">
        <v>372</v>
      </c>
      <c r="C60" s="2" t="s">
        <v>362</v>
      </c>
      <c r="D60" s="2" t="s">
        <v>21</v>
      </c>
      <c r="E60" s="2" t="s">
        <v>21</v>
      </c>
      <c r="F60" t="str">
        <f t="shared" si="0"/>
        <v>Pass</v>
      </c>
    </row>
    <row r="61" spans="1:6" x14ac:dyDescent="0.3">
      <c r="A61" s="2" t="s">
        <v>98</v>
      </c>
      <c r="B61" s="2" t="s">
        <v>371</v>
      </c>
      <c r="C61" s="2" t="s">
        <v>365</v>
      </c>
      <c r="D61" s="2" t="s">
        <v>21</v>
      </c>
      <c r="E61" s="2" t="s">
        <v>21</v>
      </c>
      <c r="F61" t="str">
        <f t="shared" si="0"/>
        <v>Pass</v>
      </c>
    </row>
    <row r="62" spans="1:6" x14ac:dyDescent="0.3">
      <c r="A62" s="2" t="s">
        <v>98</v>
      </c>
      <c r="B62" s="2" t="s">
        <v>371</v>
      </c>
      <c r="C62" s="2" t="s">
        <v>364</v>
      </c>
      <c r="D62" s="2" t="s">
        <v>21</v>
      </c>
      <c r="E62" s="2" t="s">
        <v>21</v>
      </c>
      <c r="F62" t="str">
        <f t="shared" si="0"/>
        <v>Pass</v>
      </c>
    </row>
    <row r="63" spans="1:6" x14ac:dyDescent="0.3">
      <c r="A63" s="2" t="s">
        <v>98</v>
      </c>
      <c r="B63" s="2" t="s">
        <v>371</v>
      </c>
      <c r="C63" s="2" t="s">
        <v>362</v>
      </c>
      <c r="D63" s="2" t="s">
        <v>21</v>
      </c>
      <c r="E63" s="2" t="s">
        <v>21</v>
      </c>
      <c r="F63" t="str">
        <f t="shared" si="0"/>
        <v>Pass</v>
      </c>
    </row>
    <row r="64" spans="1:6" x14ac:dyDescent="0.3">
      <c r="A64" s="2" t="s">
        <v>98</v>
      </c>
      <c r="B64" s="2" t="s">
        <v>370</v>
      </c>
      <c r="C64" s="2" t="s">
        <v>365</v>
      </c>
      <c r="D64" s="2" t="s">
        <v>21</v>
      </c>
      <c r="E64" s="2" t="s">
        <v>21</v>
      </c>
      <c r="F64" t="str">
        <f t="shared" si="0"/>
        <v>Pass</v>
      </c>
    </row>
    <row r="65" spans="1:6" x14ac:dyDescent="0.3">
      <c r="A65" s="2" t="s">
        <v>98</v>
      </c>
      <c r="B65" s="2" t="s">
        <v>370</v>
      </c>
      <c r="C65" s="2" t="s">
        <v>364</v>
      </c>
      <c r="D65" s="2" t="s">
        <v>21</v>
      </c>
      <c r="E65" s="2" t="s">
        <v>21</v>
      </c>
      <c r="F65" t="str">
        <f t="shared" si="0"/>
        <v>Pass</v>
      </c>
    </row>
    <row r="66" spans="1:6" x14ac:dyDescent="0.3">
      <c r="A66" s="2" t="s">
        <v>98</v>
      </c>
      <c r="B66" s="2" t="s">
        <v>370</v>
      </c>
      <c r="C66" s="2" t="s">
        <v>362</v>
      </c>
      <c r="D66" s="2" t="s">
        <v>21</v>
      </c>
      <c r="E66" s="2" t="s">
        <v>21</v>
      </c>
      <c r="F66" t="str">
        <f t="shared" si="0"/>
        <v>Pass</v>
      </c>
    </row>
    <row r="67" spans="1:6" x14ac:dyDescent="0.3">
      <c r="A67" s="2" t="s">
        <v>98</v>
      </c>
      <c r="B67" s="2" t="s">
        <v>369</v>
      </c>
      <c r="C67" s="2" t="s">
        <v>365</v>
      </c>
      <c r="D67" s="2" t="s">
        <v>21</v>
      </c>
      <c r="E67" s="2" t="s">
        <v>21</v>
      </c>
      <c r="F67" t="str">
        <f t="shared" ref="F67:F130" si="1">IF(D67=E67,"Pass","Fail")</f>
        <v>Pass</v>
      </c>
    </row>
    <row r="68" spans="1:6" x14ac:dyDescent="0.3">
      <c r="A68" s="2" t="s">
        <v>98</v>
      </c>
      <c r="B68" s="2" t="s">
        <v>369</v>
      </c>
      <c r="C68" s="2" t="s">
        <v>364</v>
      </c>
      <c r="D68" s="2" t="s">
        <v>21</v>
      </c>
      <c r="E68" s="2" t="s">
        <v>21</v>
      </c>
      <c r="F68" t="str">
        <f t="shared" si="1"/>
        <v>Pass</v>
      </c>
    </row>
    <row r="69" spans="1:6" x14ac:dyDescent="0.3">
      <c r="A69" s="2" t="s">
        <v>98</v>
      </c>
      <c r="B69" s="2" t="s">
        <v>369</v>
      </c>
      <c r="C69" s="2" t="s">
        <v>362</v>
      </c>
      <c r="D69" s="2" t="s">
        <v>21</v>
      </c>
      <c r="E69" s="2" t="s">
        <v>21</v>
      </c>
      <c r="F69" t="str">
        <f t="shared" si="1"/>
        <v>Pass</v>
      </c>
    </row>
    <row r="70" spans="1:6" x14ac:dyDescent="0.3">
      <c r="A70" s="2" t="s">
        <v>98</v>
      </c>
      <c r="B70" s="2" t="s">
        <v>368</v>
      </c>
      <c r="C70" s="2" t="s">
        <v>365</v>
      </c>
      <c r="D70" s="2" t="s">
        <v>21</v>
      </c>
      <c r="E70" s="2" t="s">
        <v>21</v>
      </c>
      <c r="F70" t="str">
        <f t="shared" si="1"/>
        <v>Pass</v>
      </c>
    </row>
    <row r="71" spans="1:6" x14ac:dyDescent="0.3">
      <c r="A71" s="2" t="s">
        <v>98</v>
      </c>
      <c r="B71" s="2" t="s">
        <v>368</v>
      </c>
      <c r="C71" s="2" t="s">
        <v>364</v>
      </c>
      <c r="D71" s="2" t="s">
        <v>21</v>
      </c>
      <c r="E71" s="2" t="s">
        <v>21</v>
      </c>
      <c r="F71" t="str">
        <f t="shared" si="1"/>
        <v>Pass</v>
      </c>
    </row>
    <row r="72" spans="1:6" x14ac:dyDescent="0.3">
      <c r="A72" s="2" t="s">
        <v>98</v>
      </c>
      <c r="B72" s="2" t="s">
        <v>368</v>
      </c>
      <c r="C72" s="2" t="s">
        <v>362</v>
      </c>
      <c r="D72" s="2" t="s">
        <v>21</v>
      </c>
      <c r="E72" s="2" t="s">
        <v>21</v>
      </c>
      <c r="F72" t="str">
        <f t="shared" si="1"/>
        <v>Pass</v>
      </c>
    </row>
    <row r="73" spans="1:6" x14ac:dyDescent="0.3">
      <c r="A73" s="2" t="s">
        <v>98</v>
      </c>
      <c r="B73" s="2" t="s">
        <v>367</v>
      </c>
      <c r="C73" s="2" t="s">
        <v>365</v>
      </c>
      <c r="D73" s="2" t="s">
        <v>21</v>
      </c>
      <c r="E73" s="2" t="s">
        <v>21</v>
      </c>
      <c r="F73" t="str">
        <f t="shared" si="1"/>
        <v>Pass</v>
      </c>
    </row>
    <row r="74" spans="1:6" x14ac:dyDescent="0.3">
      <c r="A74" s="2" t="s">
        <v>98</v>
      </c>
      <c r="B74" s="2" t="s">
        <v>367</v>
      </c>
      <c r="C74" s="2" t="s">
        <v>364</v>
      </c>
      <c r="D74" s="2" t="s">
        <v>21</v>
      </c>
      <c r="E74" s="2" t="s">
        <v>21</v>
      </c>
      <c r="F74" t="str">
        <f t="shared" si="1"/>
        <v>Pass</v>
      </c>
    </row>
    <row r="75" spans="1:6" x14ac:dyDescent="0.3">
      <c r="A75" s="2" t="s">
        <v>98</v>
      </c>
      <c r="B75" s="2" t="s">
        <v>367</v>
      </c>
      <c r="C75" s="2" t="s">
        <v>362</v>
      </c>
      <c r="D75" s="2" t="s">
        <v>21</v>
      </c>
      <c r="E75" s="2" t="s">
        <v>21</v>
      </c>
      <c r="F75" t="str">
        <f t="shared" si="1"/>
        <v>Pass</v>
      </c>
    </row>
    <row r="76" spans="1:6" x14ac:dyDescent="0.3">
      <c r="A76" s="2" t="s">
        <v>98</v>
      </c>
      <c r="B76" s="2" t="s">
        <v>366</v>
      </c>
      <c r="C76" s="2" t="s">
        <v>365</v>
      </c>
      <c r="D76" s="2" t="s">
        <v>21</v>
      </c>
      <c r="E76" s="2" t="s">
        <v>21</v>
      </c>
      <c r="F76" t="str">
        <f t="shared" si="1"/>
        <v>Pass</v>
      </c>
    </row>
    <row r="77" spans="1:6" x14ac:dyDescent="0.3">
      <c r="A77" s="2" t="s">
        <v>98</v>
      </c>
      <c r="B77" s="2" t="s">
        <v>366</v>
      </c>
      <c r="C77" s="2" t="s">
        <v>364</v>
      </c>
      <c r="D77" s="2" t="s">
        <v>21</v>
      </c>
      <c r="E77" s="2" t="s">
        <v>21</v>
      </c>
      <c r="F77" t="str">
        <f t="shared" si="1"/>
        <v>Pass</v>
      </c>
    </row>
    <row r="78" spans="1:6" x14ac:dyDescent="0.3">
      <c r="A78" s="2" t="s">
        <v>98</v>
      </c>
      <c r="B78" s="2" t="s">
        <v>366</v>
      </c>
      <c r="C78" s="2" t="s">
        <v>362</v>
      </c>
      <c r="D78" s="2" t="s">
        <v>21</v>
      </c>
      <c r="E78" s="2" t="s">
        <v>21</v>
      </c>
      <c r="F78" t="str">
        <f t="shared" si="1"/>
        <v>Pass</v>
      </c>
    </row>
    <row r="79" spans="1:6" x14ac:dyDescent="0.3">
      <c r="A79" s="2" t="s">
        <v>98</v>
      </c>
      <c r="B79" s="2" t="s">
        <v>363</v>
      </c>
      <c r="C79" s="2" t="s">
        <v>365</v>
      </c>
      <c r="D79" s="2" t="s">
        <v>21</v>
      </c>
      <c r="E79" s="2" t="s">
        <v>21</v>
      </c>
      <c r="F79" t="str">
        <f t="shared" si="1"/>
        <v>Pass</v>
      </c>
    </row>
    <row r="80" spans="1:6" x14ac:dyDescent="0.3">
      <c r="A80" s="2" t="s">
        <v>98</v>
      </c>
      <c r="B80" s="2" t="s">
        <v>363</v>
      </c>
      <c r="C80" s="2" t="s">
        <v>364</v>
      </c>
      <c r="D80" s="2" t="s">
        <v>21</v>
      </c>
      <c r="E80" s="2" t="s">
        <v>21</v>
      </c>
      <c r="F80" t="str">
        <f t="shared" si="1"/>
        <v>Pass</v>
      </c>
    </row>
    <row r="81" spans="1:6" x14ac:dyDescent="0.3">
      <c r="A81" s="2" t="s">
        <v>98</v>
      </c>
      <c r="B81" s="2" t="s">
        <v>363</v>
      </c>
      <c r="C81" s="2" t="s">
        <v>362</v>
      </c>
      <c r="D81" s="2" t="s">
        <v>21</v>
      </c>
      <c r="E81" s="2" t="s">
        <v>21</v>
      </c>
      <c r="F81" t="str">
        <f t="shared" si="1"/>
        <v>Pass</v>
      </c>
    </row>
    <row r="82" spans="1:6" x14ac:dyDescent="0.3">
      <c r="A82" s="2" t="s">
        <v>98</v>
      </c>
      <c r="B82" s="2" t="s">
        <v>359</v>
      </c>
      <c r="C82" s="2" t="s">
        <v>361</v>
      </c>
      <c r="D82" s="2" t="s">
        <v>21</v>
      </c>
      <c r="E82" s="2" t="s">
        <v>21</v>
      </c>
      <c r="F82" t="str">
        <f t="shared" si="1"/>
        <v>Pass</v>
      </c>
    </row>
    <row r="83" spans="1:6" x14ac:dyDescent="0.3">
      <c r="A83" s="2" t="s">
        <v>98</v>
      </c>
      <c r="B83" s="2" t="s">
        <v>359</v>
      </c>
      <c r="C83" s="2" t="s">
        <v>360</v>
      </c>
      <c r="D83" s="2" t="s">
        <v>21</v>
      </c>
      <c r="E83" s="2" t="s">
        <v>21</v>
      </c>
      <c r="F83" t="str">
        <f t="shared" si="1"/>
        <v>Pass</v>
      </c>
    </row>
    <row r="84" spans="1:6" x14ac:dyDescent="0.3">
      <c r="A84" s="2" t="s">
        <v>98</v>
      </c>
      <c r="B84" s="2" t="s">
        <v>359</v>
      </c>
      <c r="C84" s="2" t="s">
        <v>358</v>
      </c>
      <c r="D84" s="2" t="s">
        <v>21</v>
      </c>
      <c r="E84" s="2" t="s">
        <v>21</v>
      </c>
      <c r="F84" t="str">
        <f t="shared" si="1"/>
        <v>Pass</v>
      </c>
    </row>
    <row r="85" spans="1:6" x14ac:dyDescent="0.3">
      <c r="A85" s="2" t="s">
        <v>98</v>
      </c>
      <c r="B85" s="2" t="s">
        <v>357</v>
      </c>
      <c r="C85" s="2" t="s">
        <v>356</v>
      </c>
      <c r="D85" s="2" t="s">
        <v>21</v>
      </c>
      <c r="E85" s="2" t="s">
        <v>21</v>
      </c>
      <c r="F85" t="str">
        <f t="shared" si="1"/>
        <v>Pass</v>
      </c>
    </row>
    <row r="86" spans="1:6" x14ac:dyDescent="0.3">
      <c r="A86" s="2" t="s">
        <v>98</v>
      </c>
      <c r="B86" s="2" t="s">
        <v>355</v>
      </c>
      <c r="C86" s="2" t="s">
        <v>354</v>
      </c>
      <c r="D86" s="2" t="s">
        <v>17</v>
      </c>
      <c r="E86" s="2" t="s">
        <v>17</v>
      </c>
      <c r="F86" t="str">
        <f t="shared" si="1"/>
        <v>Pass</v>
      </c>
    </row>
    <row r="87" spans="1:6" x14ac:dyDescent="0.3">
      <c r="A87" s="2" t="s">
        <v>98</v>
      </c>
      <c r="B87" s="2" t="s">
        <v>353</v>
      </c>
      <c r="C87" s="2" t="s">
        <v>352</v>
      </c>
      <c r="D87" s="2" t="s">
        <v>21</v>
      </c>
      <c r="E87" s="2" t="s">
        <v>21</v>
      </c>
      <c r="F87" t="str">
        <f t="shared" si="1"/>
        <v>Pass</v>
      </c>
    </row>
    <row r="88" spans="1:6" x14ac:dyDescent="0.3">
      <c r="A88" s="2" t="s">
        <v>98</v>
      </c>
      <c r="B88" s="2" t="s">
        <v>351</v>
      </c>
      <c r="C88" s="2" t="s">
        <v>350</v>
      </c>
      <c r="D88" s="2" t="s">
        <v>349</v>
      </c>
      <c r="E88" s="4" t="s">
        <v>16</v>
      </c>
      <c r="F88" t="str">
        <f t="shared" si="1"/>
        <v>Fail</v>
      </c>
    </row>
    <row r="89" spans="1:6" x14ac:dyDescent="0.3">
      <c r="A89" s="2" t="s">
        <v>98</v>
      </c>
      <c r="B89" s="2" t="s">
        <v>348</v>
      </c>
      <c r="C89" s="2" t="s">
        <v>347</v>
      </c>
      <c r="D89" s="2" t="s">
        <v>346</v>
      </c>
      <c r="E89" s="4" t="s">
        <v>16</v>
      </c>
      <c r="F89" t="str">
        <f t="shared" si="1"/>
        <v>Fail</v>
      </c>
    </row>
    <row r="90" spans="1:6" x14ac:dyDescent="0.3">
      <c r="A90" s="2" t="s">
        <v>98</v>
      </c>
      <c r="B90" s="2" t="s">
        <v>345</v>
      </c>
      <c r="C90" s="2" t="s">
        <v>16</v>
      </c>
      <c r="D90" s="2" t="s">
        <v>196</v>
      </c>
      <c r="E90" s="4" t="s">
        <v>16</v>
      </c>
      <c r="F90" t="str">
        <f t="shared" si="1"/>
        <v>Fail</v>
      </c>
    </row>
    <row r="91" spans="1:6" x14ac:dyDescent="0.3">
      <c r="A91" s="2" t="s">
        <v>98</v>
      </c>
      <c r="B91" s="2" t="s">
        <v>344</v>
      </c>
      <c r="C91" s="2" t="s">
        <v>16</v>
      </c>
      <c r="D91" s="2" t="s">
        <v>196</v>
      </c>
      <c r="E91" s="4" t="s">
        <v>16</v>
      </c>
      <c r="F91" t="str">
        <f t="shared" si="1"/>
        <v>Fail</v>
      </c>
    </row>
    <row r="92" spans="1:6" x14ac:dyDescent="0.3">
      <c r="A92" s="2" t="s">
        <v>98</v>
      </c>
      <c r="B92" s="2" t="s">
        <v>343</v>
      </c>
      <c r="C92" s="2" t="s">
        <v>342</v>
      </c>
      <c r="D92" s="2" t="s">
        <v>21</v>
      </c>
      <c r="E92" s="2" t="s">
        <v>21</v>
      </c>
      <c r="F92" t="str">
        <f t="shared" si="1"/>
        <v>Pass</v>
      </c>
    </row>
    <row r="93" spans="1:6" x14ac:dyDescent="0.3">
      <c r="A93" s="2" t="s">
        <v>98</v>
      </c>
      <c r="B93" s="2" t="s">
        <v>341</v>
      </c>
      <c r="C93" s="2" t="s">
        <v>340</v>
      </c>
      <c r="D93" s="2" t="s">
        <v>95</v>
      </c>
      <c r="E93" s="2" t="s">
        <v>95</v>
      </c>
      <c r="F93" t="str">
        <f t="shared" si="1"/>
        <v>Pass</v>
      </c>
    </row>
    <row r="94" spans="1:6" x14ac:dyDescent="0.3">
      <c r="A94" s="2" t="s">
        <v>98</v>
      </c>
      <c r="B94" s="2" t="s">
        <v>337</v>
      </c>
      <c r="C94" s="2" t="s">
        <v>339</v>
      </c>
      <c r="D94" s="2" t="s">
        <v>17</v>
      </c>
      <c r="E94" s="2" t="s">
        <v>17</v>
      </c>
      <c r="F94" t="str">
        <f t="shared" si="1"/>
        <v>Pass</v>
      </c>
    </row>
    <row r="95" spans="1:6" x14ac:dyDescent="0.3">
      <c r="A95" s="2" t="s">
        <v>98</v>
      </c>
      <c r="B95" s="2" t="s">
        <v>337</v>
      </c>
      <c r="C95" s="2" t="s">
        <v>338</v>
      </c>
      <c r="D95" s="2" t="s">
        <v>17</v>
      </c>
      <c r="E95" s="2" t="s">
        <v>17</v>
      </c>
      <c r="F95" t="str">
        <f t="shared" si="1"/>
        <v>Pass</v>
      </c>
    </row>
    <row r="96" spans="1:6" x14ac:dyDescent="0.3">
      <c r="A96" s="2" t="s">
        <v>98</v>
      </c>
      <c r="B96" s="2" t="s">
        <v>337</v>
      </c>
      <c r="C96" s="2" t="s">
        <v>336</v>
      </c>
      <c r="D96" s="2" t="s">
        <v>17</v>
      </c>
      <c r="E96" s="2" t="s">
        <v>17</v>
      </c>
      <c r="F96" t="str">
        <f t="shared" si="1"/>
        <v>Pass</v>
      </c>
    </row>
    <row r="97" spans="1:6" x14ac:dyDescent="0.3">
      <c r="A97" s="2" t="s">
        <v>98</v>
      </c>
      <c r="B97" s="2" t="s">
        <v>335</v>
      </c>
      <c r="C97" s="2" t="s">
        <v>334</v>
      </c>
      <c r="D97" s="2" t="s">
        <v>17</v>
      </c>
      <c r="E97" s="2" t="s">
        <v>17</v>
      </c>
      <c r="F97" t="str">
        <f t="shared" si="1"/>
        <v>Pass</v>
      </c>
    </row>
    <row r="98" spans="1:6" x14ac:dyDescent="0.3">
      <c r="A98" s="2" t="s">
        <v>98</v>
      </c>
      <c r="B98" s="2" t="s">
        <v>331</v>
      </c>
      <c r="C98" s="2" t="s">
        <v>333</v>
      </c>
      <c r="D98" s="2" t="s">
        <v>17</v>
      </c>
      <c r="E98" s="2" t="s">
        <v>17</v>
      </c>
      <c r="F98" t="str">
        <f t="shared" si="1"/>
        <v>Pass</v>
      </c>
    </row>
    <row r="99" spans="1:6" x14ac:dyDescent="0.3">
      <c r="A99" s="2" t="s">
        <v>98</v>
      </c>
      <c r="B99" s="2" t="s">
        <v>331</v>
      </c>
      <c r="C99" s="2" t="s">
        <v>332</v>
      </c>
      <c r="D99" s="2" t="s">
        <v>95</v>
      </c>
      <c r="E99" s="2" t="s">
        <v>95</v>
      </c>
      <c r="F99" t="str">
        <f t="shared" si="1"/>
        <v>Pass</v>
      </c>
    </row>
    <row r="100" spans="1:6" x14ac:dyDescent="0.3">
      <c r="A100" s="2" t="s">
        <v>98</v>
      </c>
      <c r="B100" s="2" t="s">
        <v>331</v>
      </c>
      <c r="C100" s="2" t="s">
        <v>330</v>
      </c>
      <c r="D100" s="2" t="s">
        <v>21</v>
      </c>
      <c r="E100" s="2" t="s">
        <v>21</v>
      </c>
      <c r="F100" t="str">
        <f t="shared" si="1"/>
        <v>Pass</v>
      </c>
    </row>
    <row r="101" spans="1:6" x14ac:dyDescent="0.3">
      <c r="A101" s="2" t="s">
        <v>98</v>
      </c>
      <c r="B101" s="2" t="s">
        <v>329</v>
      </c>
      <c r="C101" s="2" t="s">
        <v>328</v>
      </c>
      <c r="D101" s="2" t="s">
        <v>21</v>
      </c>
      <c r="E101" s="2" t="s">
        <v>21</v>
      </c>
      <c r="F101" t="str">
        <f t="shared" si="1"/>
        <v>Pass</v>
      </c>
    </row>
    <row r="102" spans="1:6" x14ac:dyDescent="0.3">
      <c r="A102" s="2" t="s">
        <v>98</v>
      </c>
      <c r="B102" s="2" t="s">
        <v>315</v>
      </c>
      <c r="C102" s="2" t="s">
        <v>327</v>
      </c>
      <c r="D102" s="2" t="s">
        <v>21</v>
      </c>
      <c r="E102" s="2" t="s">
        <v>21</v>
      </c>
      <c r="F102" t="str">
        <f t="shared" si="1"/>
        <v>Pass</v>
      </c>
    </row>
    <row r="103" spans="1:6" x14ac:dyDescent="0.3">
      <c r="A103" s="2" t="s">
        <v>98</v>
      </c>
      <c r="B103" s="2" t="s">
        <v>315</v>
      </c>
      <c r="C103" s="2" t="s">
        <v>326</v>
      </c>
      <c r="D103" s="2" t="s">
        <v>21</v>
      </c>
      <c r="E103" s="2" t="s">
        <v>21</v>
      </c>
      <c r="F103" t="str">
        <f t="shared" si="1"/>
        <v>Pass</v>
      </c>
    </row>
    <row r="104" spans="1:6" x14ac:dyDescent="0.3">
      <c r="A104" s="2" t="s">
        <v>98</v>
      </c>
      <c r="B104" s="2" t="s">
        <v>315</v>
      </c>
      <c r="C104" s="2" t="s">
        <v>325</v>
      </c>
      <c r="D104" s="2" t="s">
        <v>21</v>
      </c>
      <c r="E104" s="2" t="s">
        <v>21</v>
      </c>
      <c r="F104" t="str">
        <f t="shared" si="1"/>
        <v>Pass</v>
      </c>
    </row>
    <row r="105" spans="1:6" x14ac:dyDescent="0.3">
      <c r="A105" s="2" t="s">
        <v>98</v>
      </c>
      <c r="B105" s="2" t="s">
        <v>315</v>
      </c>
      <c r="C105" s="2" t="s">
        <v>324</v>
      </c>
      <c r="D105" s="2" t="s">
        <v>21</v>
      </c>
      <c r="E105" s="2" t="s">
        <v>21</v>
      </c>
      <c r="F105" t="str">
        <f t="shared" si="1"/>
        <v>Pass</v>
      </c>
    </row>
    <row r="106" spans="1:6" x14ac:dyDescent="0.3">
      <c r="A106" s="2" t="s">
        <v>98</v>
      </c>
      <c r="B106" s="2" t="s">
        <v>315</v>
      </c>
      <c r="C106" s="2" t="s">
        <v>323</v>
      </c>
      <c r="D106" s="2" t="s">
        <v>21</v>
      </c>
      <c r="E106" s="2" t="s">
        <v>21</v>
      </c>
      <c r="F106" t="str">
        <f t="shared" si="1"/>
        <v>Pass</v>
      </c>
    </row>
    <row r="107" spans="1:6" x14ac:dyDescent="0.3">
      <c r="A107" s="2" t="s">
        <v>98</v>
      </c>
      <c r="B107" s="2" t="s">
        <v>315</v>
      </c>
      <c r="C107" s="2" t="s">
        <v>322</v>
      </c>
      <c r="D107" s="2" t="s">
        <v>21</v>
      </c>
      <c r="E107" s="2" t="s">
        <v>21</v>
      </c>
      <c r="F107" t="str">
        <f t="shared" si="1"/>
        <v>Pass</v>
      </c>
    </row>
    <row r="108" spans="1:6" x14ac:dyDescent="0.3">
      <c r="A108" s="2" t="s">
        <v>98</v>
      </c>
      <c r="B108" s="2" t="s">
        <v>315</v>
      </c>
      <c r="C108" s="2" t="s">
        <v>321</v>
      </c>
      <c r="D108" s="2" t="s">
        <v>21</v>
      </c>
      <c r="E108" s="2" t="s">
        <v>21</v>
      </c>
      <c r="F108" t="str">
        <f t="shared" si="1"/>
        <v>Pass</v>
      </c>
    </row>
    <row r="109" spans="1:6" x14ac:dyDescent="0.3">
      <c r="A109" s="2" t="s">
        <v>98</v>
      </c>
      <c r="B109" s="2" t="s">
        <v>315</v>
      </c>
      <c r="C109" s="2" t="s">
        <v>320</v>
      </c>
      <c r="D109" s="2" t="s">
        <v>21</v>
      </c>
      <c r="E109" s="2" t="s">
        <v>21</v>
      </c>
      <c r="F109" t="str">
        <f t="shared" si="1"/>
        <v>Pass</v>
      </c>
    </row>
    <row r="110" spans="1:6" x14ac:dyDescent="0.3">
      <c r="A110" s="2" t="s">
        <v>98</v>
      </c>
      <c r="B110" s="2" t="s">
        <v>315</v>
      </c>
      <c r="C110" s="2" t="s">
        <v>319</v>
      </c>
      <c r="D110" s="2" t="s">
        <v>21</v>
      </c>
      <c r="E110" s="2" t="s">
        <v>21</v>
      </c>
      <c r="F110" t="str">
        <f t="shared" si="1"/>
        <v>Pass</v>
      </c>
    </row>
    <row r="111" spans="1:6" x14ac:dyDescent="0.3">
      <c r="A111" s="2" t="s">
        <v>98</v>
      </c>
      <c r="B111" s="2" t="s">
        <v>315</v>
      </c>
      <c r="C111" s="2" t="s">
        <v>318</v>
      </c>
      <c r="D111" s="2" t="s">
        <v>21</v>
      </c>
      <c r="E111" s="2" t="s">
        <v>21</v>
      </c>
      <c r="F111" t="str">
        <f t="shared" si="1"/>
        <v>Pass</v>
      </c>
    </row>
    <row r="112" spans="1:6" x14ac:dyDescent="0.3">
      <c r="A112" s="2" t="s">
        <v>98</v>
      </c>
      <c r="B112" s="2" t="s">
        <v>315</v>
      </c>
      <c r="C112" s="2" t="s">
        <v>317</v>
      </c>
      <c r="D112" s="2" t="s">
        <v>21</v>
      </c>
      <c r="E112" s="2" t="s">
        <v>21</v>
      </c>
      <c r="F112" t="str">
        <f t="shared" si="1"/>
        <v>Pass</v>
      </c>
    </row>
    <row r="113" spans="1:6" x14ac:dyDescent="0.3">
      <c r="A113" s="2" t="s">
        <v>98</v>
      </c>
      <c r="B113" s="2" t="s">
        <v>315</v>
      </c>
      <c r="C113" s="2" t="s">
        <v>316</v>
      </c>
      <c r="D113" s="2" t="s">
        <v>21</v>
      </c>
      <c r="E113" s="2" t="s">
        <v>21</v>
      </c>
      <c r="F113" t="str">
        <f t="shared" si="1"/>
        <v>Pass</v>
      </c>
    </row>
    <row r="114" spans="1:6" x14ac:dyDescent="0.3">
      <c r="A114" s="2" t="s">
        <v>98</v>
      </c>
      <c r="B114" s="2" t="s">
        <v>315</v>
      </c>
      <c r="C114" s="2" t="s">
        <v>314</v>
      </c>
      <c r="D114" s="2" t="s">
        <v>21</v>
      </c>
      <c r="E114" s="2" t="s">
        <v>21</v>
      </c>
      <c r="F114" t="str">
        <f t="shared" si="1"/>
        <v>Pass</v>
      </c>
    </row>
    <row r="115" spans="1:6" x14ac:dyDescent="0.3">
      <c r="A115" s="2" t="s">
        <v>98</v>
      </c>
      <c r="B115" s="2" t="s">
        <v>313</v>
      </c>
      <c r="C115" s="2" t="s">
        <v>312</v>
      </c>
      <c r="D115" s="2" t="s">
        <v>21</v>
      </c>
      <c r="E115" s="2" t="s">
        <v>21</v>
      </c>
      <c r="F115" t="str">
        <f t="shared" si="1"/>
        <v>Pass</v>
      </c>
    </row>
    <row r="116" spans="1:6" x14ac:dyDescent="0.3">
      <c r="A116" s="2" t="s">
        <v>98</v>
      </c>
      <c r="B116" s="2" t="s">
        <v>311</v>
      </c>
      <c r="C116" s="2" t="s">
        <v>310</v>
      </c>
      <c r="D116" s="3" t="s">
        <v>17</v>
      </c>
      <c r="E116" s="3" t="s">
        <v>17</v>
      </c>
      <c r="F116" t="str">
        <f t="shared" si="1"/>
        <v>Pass</v>
      </c>
    </row>
    <row r="117" spans="1:6" x14ac:dyDescent="0.3">
      <c r="A117" s="2" t="s">
        <v>98</v>
      </c>
      <c r="B117" s="2" t="s">
        <v>309</v>
      </c>
      <c r="C117" s="2" t="s">
        <v>308</v>
      </c>
      <c r="D117" s="3" t="s">
        <v>21</v>
      </c>
      <c r="E117" s="3" t="s">
        <v>21</v>
      </c>
      <c r="F117" t="str">
        <f t="shared" si="1"/>
        <v>Pass</v>
      </c>
    </row>
    <row r="118" spans="1:6" x14ac:dyDescent="0.3">
      <c r="A118" s="2" t="s">
        <v>98</v>
      </c>
      <c r="B118" s="2" t="s">
        <v>307</v>
      </c>
      <c r="C118" s="2" t="s">
        <v>306</v>
      </c>
      <c r="D118" s="2" t="s">
        <v>21</v>
      </c>
      <c r="E118" s="2" t="s">
        <v>21</v>
      </c>
      <c r="F118" t="str">
        <f t="shared" si="1"/>
        <v>Pass</v>
      </c>
    </row>
    <row r="119" spans="1:6" x14ac:dyDescent="0.3">
      <c r="A119" s="2" t="s">
        <v>98</v>
      </c>
      <c r="B119" s="2" t="s">
        <v>301</v>
      </c>
      <c r="C119" s="2" t="s">
        <v>305</v>
      </c>
      <c r="D119" s="3" t="s">
        <v>21</v>
      </c>
      <c r="E119" s="3" t="s">
        <v>21</v>
      </c>
      <c r="F119" t="str">
        <f t="shared" si="1"/>
        <v>Pass</v>
      </c>
    </row>
    <row r="120" spans="1:6" x14ac:dyDescent="0.3">
      <c r="A120" s="2" t="s">
        <v>98</v>
      </c>
      <c r="B120" s="2" t="s">
        <v>301</v>
      </c>
      <c r="C120" s="2" t="s">
        <v>304</v>
      </c>
      <c r="D120" s="3" t="s">
        <v>21</v>
      </c>
      <c r="E120" s="3" t="s">
        <v>21</v>
      </c>
      <c r="F120" t="str">
        <f t="shared" si="1"/>
        <v>Pass</v>
      </c>
    </row>
    <row r="121" spans="1:6" x14ac:dyDescent="0.3">
      <c r="A121" s="2" t="s">
        <v>98</v>
      </c>
      <c r="B121" s="2" t="s">
        <v>301</v>
      </c>
      <c r="C121" s="2" t="s">
        <v>303</v>
      </c>
      <c r="D121" s="3" t="s">
        <v>21</v>
      </c>
      <c r="E121" s="3" t="s">
        <v>21</v>
      </c>
      <c r="F121" t="str">
        <f t="shared" si="1"/>
        <v>Pass</v>
      </c>
    </row>
    <row r="122" spans="1:6" x14ac:dyDescent="0.3">
      <c r="A122" s="2" t="s">
        <v>98</v>
      </c>
      <c r="B122" s="2" t="s">
        <v>301</v>
      </c>
      <c r="C122" s="2" t="s">
        <v>302</v>
      </c>
      <c r="D122" s="3" t="s">
        <v>21</v>
      </c>
      <c r="E122" s="3" t="s">
        <v>21</v>
      </c>
      <c r="F122" t="str">
        <f t="shared" si="1"/>
        <v>Pass</v>
      </c>
    </row>
    <row r="123" spans="1:6" x14ac:dyDescent="0.3">
      <c r="A123" s="2" t="s">
        <v>98</v>
      </c>
      <c r="B123" s="2" t="s">
        <v>301</v>
      </c>
      <c r="C123" s="2" t="s">
        <v>300</v>
      </c>
      <c r="D123" s="3" t="s">
        <v>123</v>
      </c>
      <c r="E123" s="3" t="s">
        <v>123</v>
      </c>
      <c r="F123" t="str">
        <f t="shared" si="1"/>
        <v>Pass</v>
      </c>
    </row>
    <row r="124" spans="1:6" x14ac:dyDescent="0.3">
      <c r="A124" s="2" t="s">
        <v>98</v>
      </c>
      <c r="B124" s="2" t="s">
        <v>299</v>
      </c>
      <c r="C124" s="2" t="s">
        <v>298</v>
      </c>
      <c r="D124" s="2" t="s">
        <v>21</v>
      </c>
      <c r="E124" s="2" t="s">
        <v>21</v>
      </c>
      <c r="F124" t="str">
        <f t="shared" si="1"/>
        <v>Pass</v>
      </c>
    </row>
    <row r="125" spans="1:6" x14ac:dyDescent="0.3">
      <c r="A125" s="2" t="s">
        <v>98</v>
      </c>
      <c r="B125" s="2" t="s">
        <v>297</v>
      </c>
      <c r="C125" s="2" t="s">
        <v>296</v>
      </c>
      <c r="D125" s="3" t="s">
        <v>21</v>
      </c>
      <c r="E125" s="3" t="s">
        <v>21</v>
      </c>
      <c r="F125" t="str">
        <f t="shared" si="1"/>
        <v>Pass</v>
      </c>
    </row>
    <row r="126" spans="1:6" x14ac:dyDescent="0.3">
      <c r="A126" s="2" t="s">
        <v>98</v>
      </c>
      <c r="B126" s="2" t="s">
        <v>287</v>
      </c>
      <c r="C126" s="2" t="s">
        <v>295</v>
      </c>
      <c r="D126" s="2" t="s">
        <v>21</v>
      </c>
      <c r="E126" s="2" t="s">
        <v>21</v>
      </c>
      <c r="F126" t="str">
        <f t="shared" si="1"/>
        <v>Pass</v>
      </c>
    </row>
    <row r="127" spans="1:6" x14ac:dyDescent="0.3">
      <c r="A127" s="2" t="s">
        <v>98</v>
      </c>
      <c r="B127" s="2" t="s">
        <v>287</v>
      </c>
      <c r="C127" s="2" t="s">
        <v>294</v>
      </c>
      <c r="D127" s="2" t="s">
        <v>17</v>
      </c>
      <c r="E127" s="2" t="s">
        <v>17</v>
      </c>
      <c r="F127" t="str">
        <f t="shared" si="1"/>
        <v>Pass</v>
      </c>
    </row>
    <row r="128" spans="1:6" x14ac:dyDescent="0.3">
      <c r="A128" s="2" t="s">
        <v>98</v>
      </c>
      <c r="B128" s="2" t="s">
        <v>287</v>
      </c>
      <c r="C128" s="2" t="s">
        <v>293</v>
      </c>
      <c r="D128" s="2" t="s">
        <v>21</v>
      </c>
      <c r="E128" s="2" t="s">
        <v>21</v>
      </c>
      <c r="F128" t="str">
        <f t="shared" si="1"/>
        <v>Pass</v>
      </c>
    </row>
    <row r="129" spans="1:6" x14ac:dyDescent="0.3">
      <c r="A129" s="2" t="s">
        <v>98</v>
      </c>
      <c r="B129" s="2" t="s">
        <v>287</v>
      </c>
      <c r="C129" s="2" t="s">
        <v>292</v>
      </c>
      <c r="D129" s="2" t="s">
        <v>291</v>
      </c>
      <c r="E129" s="2" t="s">
        <v>291</v>
      </c>
      <c r="F129" t="str">
        <f t="shared" si="1"/>
        <v>Pass</v>
      </c>
    </row>
    <row r="130" spans="1:6" x14ac:dyDescent="0.3">
      <c r="A130" s="2" t="s">
        <v>98</v>
      </c>
      <c r="B130" s="2" t="s">
        <v>287</v>
      </c>
      <c r="C130" s="2" t="s">
        <v>290</v>
      </c>
      <c r="D130" s="2" t="s">
        <v>21</v>
      </c>
      <c r="E130" s="2" t="s">
        <v>21</v>
      </c>
      <c r="F130" t="str">
        <f t="shared" si="1"/>
        <v>Pass</v>
      </c>
    </row>
    <row r="131" spans="1:6" x14ac:dyDescent="0.3">
      <c r="A131" s="2" t="s">
        <v>98</v>
      </c>
      <c r="B131" s="2" t="s">
        <v>287</v>
      </c>
      <c r="C131" s="2" t="s">
        <v>289</v>
      </c>
      <c r="D131" s="2" t="s">
        <v>21</v>
      </c>
      <c r="E131" s="2" t="s">
        <v>21</v>
      </c>
      <c r="F131" t="str">
        <f t="shared" ref="F131:F194" si="2">IF(D131=E131,"Pass","Fail")</f>
        <v>Pass</v>
      </c>
    </row>
    <row r="132" spans="1:6" x14ac:dyDescent="0.3">
      <c r="A132" s="2" t="s">
        <v>98</v>
      </c>
      <c r="B132" s="2" t="s">
        <v>287</v>
      </c>
      <c r="C132" s="2" t="s">
        <v>288</v>
      </c>
      <c r="D132" s="2" t="s">
        <v>21</v>
      </c>
      <c r="E132" s="2" t="s">
        <v>21</v>
      </c>
      <c r="F132" t="str">
        <f t="shared" si="2"/>
        <v>Pass</v>
      </c>
    </row>
    <row r="133" spans="1:6" x14ac:dyDescent="0.3">
      <c r="A133" s="2" t="s">
        <v>98</v>
      </c>
      <c r="B133" s="2" t="s">
        <v>287</v>
      </c>
      <c r="C133" s="2" t="s">
        <v>286</v>
      </c>
      <c r="D133" s="2" t="s">
        <v>21</v>
      </c>
      <c r="E133" s="2" t="s">
        <v>21</v>
      </c>
      <c r="F133" t="str">
        <f t="shared" si="2"/>
        <v>Pass</v>
      </c>
    </row>
    <row r="134" spans="1:6" x14ac:dyDescent="0.3">
      <c r="A134" s="2" t="s">
        <v>98</v>
      </c>
      <c r="B134" s="2" t="s">
        <v>285</v>
      </c>
      <c r="C134" s="2" t="s">
        <v>248</v>
      </c>
      <c r="D134" s="2" t="s">
        <v>17</v>
      </c>
      <c r="E134" s="2" t="s">
        <v>17</v>
      </c>
      <c r="F134" t="str">
        <f t="shared" si="2"/>
        <v>Pass</v>
      </c>
    </row>
    <row r="135" spans="1:6" x14ac:dyDescent="0.3">
      <c r="A135" s="2" t="s">
        <v>98</v>
      </c>
      <c r="B135" s="2" t="s">
        <v>284</v>
      </c>
      <c r="C135" s="2" t="s">
        <v>248</v>
      </c>
      <c r="D135" s="2" t="s">
        <v>17</v>
      </c>
      <c r="E135" s="2" t="s">
        <v>17</v>
      </c>
      <c r="F135" t="str">
        <f t="shared" si="2"/>
        <v>Pass</v>
      </c>
    </row>
    <row r="136" spans="1:6" x14ac:dyDescent="0.3">
      <c r="A136" s="2" t="s">
        <v>98</v>
      </c>
      <c r="B136" s="2" t="s">
        <v>283</v>
      </c>
      <c r="C136" s="2" t="s">
        <v>248</v>
      </c>
      <c r="D136" s="2" t="s">
        <v>17</v>
      </c>
      <c r="E136" s="2" t="s">
        <v>17</v>
      </c>
      <c r="F136" t="str">
        <f t="shared" si="2"/>
        <v>Pass</v>
      </c>
    </row>
    <row r="137" spans="1:6" x14ac:dyDescent="0.3">
      <c r="A137" s="2" t="s">
        <v>98</v>
      </c>
      <c r="B137" s="2" t="s">
        <v>282</v>
      </c>
      <c r="C137" s="2" t="s">
        <v>240</v>
      </c>
      <c r="D137" s="2" t="s">
        <v>17</v>
      </c>
      <c r="E137" s="2" t="s">
        <v>17</v>
      </c>
      <c r="F137" t="str">
        <f t="shared" si="2"/>
        <v>Pass</v>
      </c>
    </row>
    <row r="138" spans="1:6" x14ac:dyDescent="0.3">
      <c r="A138" s="2" t="s">
        <v>98</v>
      </c>
      <c r="B138" s="2" t="s">
        <v>281</v>
      </c>
      <c r="C138" s="2" t="s">
        <v>248</v>
      </c>
      <c r="D138" s="2" t="s">
        <v>17</v>
      </c>
      <c r="E138" s="2" t="s">
        <v>17</v>
      </c>
      <c r="F138" t="str">
        <f t="shared" si="2"/>
        <v>Pass</v>
      </c>
    </row>
    <row r="139" spans="1:6" x14ac:dyDescent="0.3">
      <c r="A139" s="2" t="s">
        <v>98</v>
      </c>
      <c r="B139" s="2" t="s">
        <v>281</v>
      </c>
      <c r="C139" s="2" t="s">
        <v>240</v>
      </c>
      <c r="D139" s="2" t="s">
        <v>17</v>
      </c>
      <c r="E139" s="2" t="s">
        <v>17</v>
      </c>
      <c r="F139" t="str">
        <f t="shared" si="2"/>
        <v>Pass</v>
      </c>
    </row>
    <row r="140" spans="1:6" x14ac:dyDescent="0.3">
      <c r="A140" s="2" t="s">
        <v>98</v>
      </c>
      <c r="B140" s="2" t="s">
        <v>280</v>
      </c>
      <c r="C140" s="2" t="s">
        <v>279</v>
      </c>
      <c r="D140" s="2" t="s">
        <v>17</v>
      </c>
      <c r="E140" s="2" t="s">
        <v>17</v>
      </c>
      <c r="F140" t="str">
        <f t="shared" si="2"/>
        <v>Pass</v>
      </c>
    </row>
    <row r="141" spans="1:6" x14ac:dyDescent="0.3">
      <c r="A141" s="2" t="s">
        <v>98</v>
      </c>
      <c r="B141" s="2" t="s">
        <v>278</v>
      </c>
      <c r="C141" s="2" t="s">
        <v>248</v>
      </c>
      <c r="D141" s="2" t="s">
        <v>17</v>
      </c>
      <c r="E141" s="2" t="s">
        <v>17</v>
      </c>
      <c r="F141" t="str">
        <f t="shared" si="2"/>
        <v>Pass</v>
      </c>
    </row>
    <row r="142" spans="1:6" x14ac:dyDescent="0.3">
      <c r="A142" s="2" t="s">
        <v>98</v>
      </c>
      <c r="B142" s="2" t="s">
        <v>278</v>
      </c>
      <c r="C142" s="2" t="s">
        <v>234</v>
      </c>
      <c r="D142" s="2" t="s">
        <v>17</v>
      </c>
      <c r="E142" s="2" t="s">
        <v>17</v>
      </c>
      <c r="F142" t="str">
        <f t="shared" si="2"/>
        <v>Pass</v>
      </c>
    </row>
    <row r="143" spans="1:6" x14ac:dyDescent="0.3">
      <c r="A143" s="2" t="s">
        <v>98</v>
      </c>
      <c r="B143" s="2" t="s">
        <v>277</v>
      </c>
      <c r="C143" s="2" t="s">
        <v>270</v>
      </c>
      <c r="D143" s="2" t="s">
        <v>123</v>
      </c>
      <c r="E143" s="2" t="s">
        <v>123</v>
      </c>
      <c r="F143" t="str">
        <f t="shared" si="2"/>
        <v>Pass</v>
      </c>
    </row>
    <row r="144" spans="1:6" x14ac:dyDescent="0.3">
      <c r="A144" s="2" t="s">
        <v>98</v>
      </c>
      <c r="B144" s="2" t="s">
        <v>277</v>
      </c>
      <c r="C144" s="2" t="s">
        <v>248</v>
      </c>
      <c r="D144" s="2" t="s">
        <v>275</v>
      </c>
      <c r="E144" s="2" t="s">
        <v>275</v>
      </c>
      <c r="F144" t="str">
        <f t="shared" si="2"/>
        <v>Pass</v>
      </c>
    </row>
    <row r="145" spans="1:6" x14ac:dyDescent="0.3">
      <c r="A145" s="2" t="s">
        <v>98</v>
      </c>
      <c r="B145" s="2" t="s">
        <v>277</v>
      </c>
      <c r="C145" s="2" t="s">
        <v>234</v>
      </c>
      <c r="D145" s="2" t="s">
        <v>17</v>
      </c>
      <c r="E145" s="2" t="s">
        <v>17</v>
      </c>
      <c r="F145" t="str">
        <f t="shared" si="2"/>
        <v>Pass</v>
      </c>
    </row>
    <row r="146" spans="1:6" x14ac:dyDescent="0.3">
      <c r="A146" s="2" t="s">
        <v>98</v>
      </c>
      <c r="B146" s="2" t="s">
        <v>276</v>
      </c>
      <c r="C146" s="2" t="s">
        <v>270</v>
      </c>
      <c r="D146" s="2" t="s">
        <v>123</v>
      </c>
      <c r="E146" s="2" t="s">
        <v>123</v>
      </c>
      <c r="F146" t="str">
        <f t="shared" si="2"/>
        <v>Pass</v>
      </c>
    </row>
    <row r="147" spans="1:6" x14ac:dyDescent="0.3">
      <c r="A147" s="2" t="s">
        <v>98</v>
      </c>
      <c r="B147" s="2" t="s">
        <v>276</v>
      </c>
      <c r="C147" s="2" t="s">
        <v>248</v>
      </c>
      <c r="D147" s="2" t="s">
        <v>275</v>
      </c>
      <c r="E147" s="2" t="s">
        <v>275</v>
      </c>
      <c r="F147" t="str">
        <f t="shared" si="2"/>
        <v>Pass</v>
      </c>
    </row>
    <row r="148" spans="1:6" x14ac:dyDescent="0.3">
      <c r="A148" s="2" t="s">
        <v>98</v>
      </c>
      <c r="B148" s="2" t="s">
        <v>276</v>
      </c>
      <c r="C148" s="2" t="s">
        <v>234</v>
      </c>
      <c r="D148" s="2" t="s">
        <v>17</v>
      </c>
      <c r="E148" s="2" t="s">
        <v>17</v>
      </c>
      <c r="F148" t="str">
        <f t="shared" si="2"/>
        <v>Pass</v>
      </c>
    </row>
    <row r="149" spans="1:6" x14ac:dyDescent="0.3">
      <c r="A149" s="2" t="s">
        <v>98</v>
      </c>
      <c r="B149" s="2" t="s">
        <v>274</v>
      </c>
      <c r="C149" s="2" t="s">
        <v>273</v>
      </c>
      <c r="D149" s="2" t="s">
        <v>123</v>
      </c>
      <c r="E149" s="2" t="s">
        <v>123</v>
      </c>
      <c r="F149" t="str">
        <f t="shared" si="2"/>
        <v>Pass</v>
      </c>
    </row>
    <row r="150" spans="1:6" x14ac:dyDescent="0.3">
      <c r="A150" s="2" t="s">
        <v>98</v>
      </c>
      <c r="B150" s="2" t="s">
        <v>274</v>
      </c>
      <c r="C150" s="2" t="s">
        <v>272</v>
      </c>
      <c r="D150" s="2" t="s">
        <v>123</v>
      </c>
      <c r="E150" s="2" t="s">
        <v>123</v>
      </c>
      <c r="F150" t="str">
        <f t="shared" si="2"/>
        <v>Pass</v>
      </c>
    </row>
    <row r="151" spans="1:6" x14ac:dyDescent="0.3">
      <c r="A151" s="2" t="s">
        <v>98</v>
      </c>
      <c r="B151" s="2" t="s">
        <v>274</v>
      </c>
      <c r="C151" s="2" t="s">
        <v>270</v>
      </c>
      <c r="D151" s="2" t="s">
        <v>123</v>
      </c>
      <c r="E151" s="2" t="s">
        <v>123</v>
      </c>
      <c r="F151" t="str">
        <f t="shared" si="2"/>
        <v>Pass</v>
      </c>
    </row>
    <row r="152" spans="1:6" x14ac:dyDescent="0.3">
      <c r="A152" s="2" t="s">
        <v>98</v>
      </c>
      <c r="B152" s="2" t="s">
        <v>274</v>
      </c>
      <c r="C152" s="2" t="s">
        <v>269</v>
      </c>
      <c r="D152" s="2" t="s">
        <v>123</v>
      </c>
      <c r="E152" s="2" t="s">
        <v>123</v>
      </c>
      <c r="F152" t="str">
        <f t="shared" si="2"/>
        <v>Pass</v>
      </c>
    </row>
    <row r="153" spans="1:6" x14ac:dyDescent="0.3">
      <c r="A153" s="2" t="s">
        <v>98</v>
      </c>
      <c r="B153" s="2" t="s">
        <v>274</v>
      </c>
      <c r="C153" s="2" t="s">
        <v>268</v>
      </c>
      <c r="D153" s="2" t="s">
        <v>123</v>
      </c>
      <c r="E153" s="2" t="s">
        <v>123</v>
      </c>
      <c r="F153" t="str">
        <f t="shared" si="2"/>
        <v>Pass</v>
      </c>
    </row>
    <row r="154" spans="1:6" x14ac:dyDescent="0.3">
      <c r="A154" s="2" t="s">
        <v>98</v>
      </c>
      <c r="B154" s="2" t="s">
        <v>274</v>
      </c>
      <c r="C154" s="2" t="s">
        <v>267</v>
      </c>
      <c r="D154" s="2" t="s">
        <v>123</v>
      </c>
      <c r="E154" s="2" t="s">
        <v>123</v>
      </c>
      <c r="F154" t="str">
        <f t="shared" si="2"/>
        <v>Pass</v>
      </c>
    </row>
    <row r="155" spans="1:6" x14ac:dyDescent="0.3">
      <c r="A155" s="2" t="s">
        <v>98</v>
      </c>
      <c r="B155" s="2" t="s">
        <v>274</v>
      </c>
      <c r="C155" s="2" t="s">
        <v>266</v>
      </c>
      <c r="D155" s="2" t="s">
        <v>123</v>
      </c>
      <c r="E155" s="2" t="s">
        <v>123</v>
      </c>
      <c r="F155" t="str">
        <f t="shared" si="2"/>
        <v>Pass</v>
      </c>
    </row>
    <row r="156" spans="1:6" x14ac:dyDescent="0.3">
      <c r="A156" s="2" t="s">
        <v>98</v>
      </c>
      <c r="B156" s="2" t="s">
        <v>274</v>
      </c>
      <c r="C156" s="2" t="s">
        <v>262</v>
      </c>
      <c r="D156" s="2" t="s">
        <v>123</v>
      </c>
      <c r="E156" s="2" t="s">
        <v>123</v>
      </c>
      <c r="F156" t="str">
        <f t="shared" si="2"/>
        <v>Pass</v>
      </c>
    </row>
    <row r="157" spans="1:6" x14ac:dyDescent="0.3">
      <c r="A157" s="2" t="s">
        <v>98</v>
      </c>
      <c r="B157" s="2" t="s">
        <v>274</v>
      </c>
      <c r="C157" s="2" t="s">
        <v>261</v>
      </c>
      <c r="D157" s="2" t="s">
        <v>123</v>
      </c>
      <c r="E157" s="2" t="s">
        <v>123</v>
      </c>
      <c r="F157" t="str">
        <f t="shared" si="2"/>
        <v>Pass</v>
      </c>
    </row>
    <row r="158" spans="1:6" x14ac:dyDescent="0.3">
      <c r="A158" s="2" t="s">
        <v>98</v>
      </c>
      <c r="B158" s="2" t="s">
        <v>274</v>
      </c>
      <c r="C158" s="2" t="s">
        <v>260</v>
      </c>
      <c r="D158" s="2" t="s">
        <v>17</v>
      </c>
      <c r="E158" s="2" t="s">
        <v>17</v>
      </c>
      <c r="F158" t="str">
        <f t="shared" si="2"/>
        <v>Pass</v>
      </c>
    </row>
    <row r="159" spans="1:6" x14ac:dyDescent="0.3">
      <c r="A159" s="2" t="s">
        <v>98</v>
      </c>
      <c r="B159" s="2" t="s">
        <v>274</v>
      </c>
      <c r="C159" s="2" t="s">
        <v>259</v>
      </c>
      <c r="D159" s="2" t="s">
        <v>123</v>
      </c>
      <c r="E159" s="2" t="s">
        <v>123</v>
      </c>
      <c r="F159" t="str">
        <f t="shared" si="2"/>
        <v>Pass</v>
      </c>
    </row>
    <row r="160" spans="1:6" x14ac:dyDescent="0.3">
      <c r="A160" s="2" t="s">
        <v>98</v>
      </c>
      <c r="B160" s="2" t="s">
        <v>274</v>
      </c>
      <c r="C160" s="2" t="s">
        <v>258</v>
      </c>
      <c r="D160" s="2" t="s">
        <v>123</v>
      </c>
      <c r="E160" s="2" t="s">
        <v>123</v>
      </c>
      <c r="F160" t="str">
        <f t="shared" si="2"/>
        <v>Pass</v>
      </c>
    </row>
    <row r="161" spans="1:6" x14ac:dyDescent="0.3">
      <c r="A161" s="2" t="s">
        <v>98</v>
      </c>
      <c r="B161" s="2" t="s">
        <v>274</v>
      </c>
      <c r="C161" s="2" t="s">
        <v>257</v>
      </c>
      <c r="D161" s="2" t="s">
        <v>123</v>
      </c>
      <c r="E161" s="2" t="s">
        <v>123</v>
      </c>
      <c r="F161" t="str">
        <f t="shared" si="2"/>
        <v>Pass</v>
      </c>
    </row>
    <row r="162" spans="1:6" x14ac:dyDescent="0.3">
      <c r="A162" s="2" t="s">
        <v>98</v>
      </c>
      <c r="B162" s="2" t="s">
        <v>274</v>
      </c>
      <c r="C162" s="2" t="s">
        <v>255</v>
      </c>
      <c r="D162" s="2" t="s">
        <v>123</v>
      </c>
      <c r="E162" s="2" t="s">
        <v>123</v>
      </c>
      <c r="F162" t="str">
        <f t="shared" si="2"/>
        <v>Pass</v>
      </c>
    </row>
    <row r="163" spans="1:6" x14ac:dyDescent="0.3">
      <c r="A163" s="2" t="s">
        <v>98</v>
      </c>
      <c r="B163" s="2" t="s">
        <v>274</v>
      </c>
      <c r="C163" s="2" t="s">
        <v>254</v>
      </c>
      <c r="D163" s="2" t="s">
        <v>123</v>
      </c>
      <c r="E163" s="2" t="s">
        <v>123</v>
      </c>
      <c r="F163" t="str">
        <f t="shared" si="2"/>
        <v>Pass</v>
      </c>
    </row>
    <row r="164" spans="1:6" x14ac:dyDescent="0.3">
      <c r="A164" s="2" t="s">
        <v>98</v>
      </c>
      <c r="B164" s="2" t="s">
        <v>274</v>
      </c>
      <c r="C164" s="2" t="s">
        <v>252</v>
      </c>
      <c r="D164" s="2" t="s">
        <v>123</v>
      </c>
      <c r="E164" s="2" t="s">
        <v>123</v>
      </c>
      <c r="F164" t="str">
        <f t="shared" si="2"/>
        <v>Pass</v>
      </c>
    </row>
    <row r="165" spans="1:6" x14ac:dyDescent="0.3">
      <c r="A165" s="2" t="s">
        <v>98</v>
      </c>
      <c r="B165" s="2" t="s">
        <v>274</v>
      </c>
      <c r="C165" s="2" t="s">
        <v>251</v>
      </c>
      <c r="D165" s="2" t="s">
        <v>21</v>
      </c>
      <c r="E165" s="2" t="s">
        <v>21</v>
      </c>
      <c r="F165" t="str">
        <f t="shared" si="2"/>
        <v>Pass</v>
      </c>
    </row>
    <row r="166" spans="1:6" x14ac:dyDescent="0.3">
      <c r="A166" s="2" t="s">
        <v>98</v>
      </c>
      <c r="B166" s="2" t="s">
        <v>274</v>
      </c>
      <c r="C166" s="2" t="s">
        <v>250</v>
      </c>
      <c r="D166" s="2" t="s">
        <v>17</v>
      </c>
      <c r="E166" s="2" t="s">
        <v>17</v>
      </c>
      <c r="F166" t="str">
        <f t="shared" si="2"/>
        <v>Pass</v>
      </c>
    </row>
    <row r="167" spans="1:6" x14ac:dyDescent="0.3">
      <c r="A167" s="2" t="s">
        <v>98</v>
      </c>
      <c r="B167" s="2" t="s">
        <v>274</v>
      </c>
      <c r="C167" s="2" t="s">
        <v>249</v>
      </c>
      <c r="D167" s="2" t="s">
        <v>275</v>
      </c>
      <c r="E167" s="2" t="s">
        <v>275</v>
      </c>
      <c r="F167" t="str">
        <f t="shared" si="2"/>
        <v>Pass</v>
      </c>
    </row>
    <row r="168" spans="1:6" x14ac:dyDescent="0.3">
      <c r="A168" s="2" t="s">
        <v>98</v>
      </c>
      <c r="B168" s="2" t="s">
        <v>274</v>
      </c>
      <c r="C168" s="2" t="s">
        <v>248</v>
      </c>
      <c r="D168" s="2" t="s">
        <v>17</v>
      </c>
      <c r="E168" s="2" t="s">
        <v>17</v>
      </c>
      <c r="F168" t="str">
        <f t="shared" si="2"/>
        <v>Pass</v>
      </c>
    </row>
    <row r="169" spans="1:6" x14ac:dyDescent="0.3">
      <c r="A169" s="2" t="s">
        <v>98</v>
      </c>
      <c r="B169" s="2" t="s">
        <v>274</v>
      </c>
      <c r="C169" s="2" t="s">
        <v>246</v>
      </c>
      <c r="D169" s="2" t="s">
        <v>123</v>
      </c>
      <c r="E169" s="2" t="s">
        <v>123</v>
      </c>
      <c r="F169" t="str">
        <f t="shared" si="2"/>
        <v>Pass</v>
      </c>
    </row>
    <row r="170" spans="1:6" x14ac:dyDescent="0.3">
      <c r="A170" s="2" t="s">
        <v>98</v>
      </c>
      <c r="B170" s="2" t="s">
        <v>274</v>
      </c>
      <c r="C170" s="2" t="s">
        <v>245</v>
      </c>
      <c r="D170" s="2" t="s">
        <v>123</v>
      </c>
      <c r="E170" s="2" t="s">
        <v>123</v>
      </c>
      <c r="F170" t="str">
        <f t="shared" si="2"/>
        <v>Pass</v>
      </c>
    </row>
    <row r="171" spans="1:6" x14ac:dyDescent="0.3">
      <c r="A171" s="2" t="s">
        <v>98</v>
      </c>
      <c r="B171" s="2" t="s">
        <v>274</v>
      </c>
      <c r="C171" s="2" t="s">
        <v>244</v>
      </c>
      <c r="D171" s="2" t="s">
        <v>123</v>
      </c>
      <c r="E171" s="2" t="s">
        <v>123</v>
      </c>
      <c r="F171" t="str">
        <f t="shared" si="2"/>
        <v>Pass</v>
      </c>
    </row>
    <row r="172" spans="1:6" x14ac:dyDescent="0.3">
      <c r="A172" s="2" t="s">
        <v>98</v>
      </c>
      <c r="B172" s="2" t="s">
        <v>274</v>
      </c>
      <c r="C172" s="2" t="s">
        <v>243</v>
      </c>
      <c r="D172" s="2" t="s">
        <v>123</v>
      </c>
      <c r="E172" s="2" t="s">
        <v>123</v>
      </c>
      <c r="F172" t="str">
        <f t="shared" si="2"/>
        <v>Pass</v>
      </c>
    </row>
    <row r="173" spans="1:6" x14ac:dyDescent="0.3">
      <c r="A173" s="2" t="s">
        <v>98</v>
      </c>
      <c r="B173" s="2" t="s">
        <v>274</v>
      </c>
      <c r="C173" s="2" t="s">
        <v>242</v>
      </c>
      <c r="D173" s="2" t="s">
        <v>123</v>
      </c>
      <c r="E173" s="2" t="s">
        <v>123</v>
      </c>
      <c r="F173" t="str">
        <f t="shared" si="2"/>
        <v>Pass</v>
      </c>
    </row>
    <row r="174" spans="1:6" x14ac:dyDescent="0.3">
      <c r="A174" s="2" t="s">
        <v>98</v>
      </c>
      <c r="B174" s="2" t="s">
        <v>274</v>
      </c>
      <c r="C174" s="2" t="s">
        <v>241</v>
      </c>
      <c r="D174" s="2" t="s">
        <v>123</v>
      </c>
      <c r="E174" s="2" t="s">
        <v>123</v>
      </c>
      <c r="F174" t="str">
        <f t="shared" si="2"/>
        <v>Pass</v>
      </c>
    </row>
    <row r="175" spans="1:6" x14ac:dyDescent="0.3">
      <c r="A175" s="2" t="s">
        <v>98</v>
      </c>
      <c r="B175" s="2" t="s">
        <v>274</v>
      </c>
      <c r="C175" s="2" t="s">
        <v>240</v>
      </c>
      <c r="D175" s="2" t="s">
        <v>17</v>
      </c>
      <c r="E175" s="2" t="s">
        <v>17</v>
      </c>
      <c r="F175" t="str">
        <f t="shared" si="2"/>
        <v>Pass</v>
      </c>
    </row>
    <row r="176" spans="1:6" x14ac:dyDescent="0.3">
      <c r="A176" s="2" t="s">
        <v>98</v>
      </c>
      <c r="B176" s="2" t="s">
        <v>274</v>
      </c>
      <c r="C176" s="2" t="s">
        <v>239</v>
      </c>
      <c r="D176" s="2" t="s">
        <v>123</v>
      </c>
      <c r="E176" s="2" t="s">
        <v>123</v>
      </c>
      <c r="F176" t="str">
        <f t="shared" si="2"/>
        <v>Pass</v>
      </c>
    </row>
    <row r="177" spans="1:6" x14ac:dyDescent="0.3">
      <c r="A177" s="2" t="s">
        <v>98</v>
      </c>
      <c r="B177" s="2" t="s">
        <v>274</v>
      </c>
      <c r="C177" s="2" t="s">
        <v>238</v>
      </c>
      <c r="D177" s="2" t="s">
        <v>17</v>
      </c>
      <c r="E177" s="2" t="s">
        <v>17</v>
      </c>
      <c r="F177" t="str">
        <f t="shared" si="2"/>
        <v>Pass</v>
      </c>
    </row>
    <row r="178" spans="1:6" x14ac:dyDescent="0.3">
      <c r="A178" s="2" t="s">
        <v>98</v>
      </c>
      <c r="B178" s="2" t="s">
        <v>274</v>
      </c>
      <c r="C178" s="2" t="s">
        <v>237</v>
      </c>
      <c r="D178" s="2" t="s">
        <v>123</v>
      </c>
      <c r="E178" s="2" t="s">
        <v>123</v>
      </c>
      <c r="F178" t="str">
        <f t="shared" si="2"/>
        <v>Pass</v>
      </c>
    </row>
    <row r="179" spans="1:6" x14ac:dyDescent="0.3">
      <c r="A179" s="2" t="s">
        <v>98</v>
      </c>
      <c r="B179" s="2" t="s">
        <v>274</v>
      </c>
      <c r="C179" s="2" t="s">
        <v>236</v>
      </c>
      <c r="D179" s="2" t="s">
        <v>123</v>
      </c>
      <c r="E179" s="2" t="s">
        <v>123</v>
      </c>
      <c r="F179" t="str">
        <f t="shared" si="2"/>
        <v>Pass</v>
      </c>
    </row>
    <row r="180" spans="1:6" x14ac:dyDescent="0.3">
      <c r="A180" s="2" t="s">
        <v>98</v>
      </c>
      <c r="B180" s="2" t="s">
        <v>274</v>
      </c>
      <c r="C180" s="2" t="s">
        <v>234</v>
      </c>
      <c r="D180" s="2" t="s">
        <v>17</v>
      </c>
      <c r="E180" s="2" t="s">
        <v>17</v>
      </c>
      <c r="F180" t="str">
        <f t="shared" si="2"/>
        <v>Pass</v>
      </c>
    </row>
    <row r="181" spans="1:6" x14ac:dyDescent="0.3">
      <c r="A181" s="2" t="s">
        <v>98</v>
      </c>
      <c r="B181" s="2" t="s">
        <v>235</v>
      </c>
      <c r="C181" s="2" t="s">
        <v>273</v>
      </c>
      <c r="D181" s="2" t="s">
        <v>123</v>
      </c>
      <c r="E181" s="2" t="s">
        <v>123</v>
      </c>
      <c r="F181" t="str">
        <f t="shared" si="2"/>
        <v>Pass</v>
      </c>
    </row>
    <row r="182" spans="1:6" x14ac:dyDescent="0.3">
      <c r="A182" s="2" t="s">
        <v>98</v>
      </c>
      <c r="B182" s="2" t="s">
        <v>235</v>
      </c>
      <c r="C182" s="2" t="s">
        <v>272</v>
      </c>
      <c r="D182" s="2" t="s">
        <v>123</v>
      </c>
      <c r="E182" s="2" t="s">
        <v>123</v>
      </c>
      <c r="F182" t="str">
        <f t="shared" si="2"/>
        <v>Pass</v>
      </c>
    </row>
    <row r="183" spans="1:6" x14ac:dyDescent="0.3">
      <c r="A183" s="2" t="s">
        <v>98</v>
      </c>
      <c r="B183" s="2" t="s">
        <v>235</v>
      </c>
      <c r="C183" s="2" t="s">
        <v>271</v>
      </c>
      <c r="D183" s="2" t="s">
        <v>123</v>
      </c>
      <c r="E183" s="2" t="s">
        <v>123</v>
      </c>
      <c r="F183" t="str">
        <f t="shared" si="2"/>
        <v>Pass</v>
      </c>
    </row>
    <row r="184" spans="1:6" x14ac:dyDescent="0.3">
      <c r="A184" s="2" t="s">
        <v>98</v>
      </c>
      <c r="B184" s="2" t="s">
        <v>235</v>
      </c>
      <c r="C184" s="2" t="s">
        <v>270</v>
      </c>
      <c r="D184" s="2" t="s">
        <v>123</v>
      </c>
      <c r="E184" s="2" t="s">
        <v>123</v>
      </c>
      <c r="F184" t="str">
        <f t="shared" si="2"/>
        <v>Pass</v>
      </c>
    </row>
    <row r="185" spans="1:6" x14ac:dyDescent="0.3">
      <c r="A185" s="2" t="s">
        <v>98</v>
      </c>
      <c r="B185" s="2" t="s">
        <v>235</v>
      </c>
      <c r="C185" s="2" t="s">
        <v>269</v>
      </c>
      <c r="D185" s="2" t="s">
        <v>123</v>
      </c>
      <c r="E185" s="2" t="s">
        <v>123</v>
      </c>
      <c r="F185" t="str">
        <f t="shared" si="2"/>
        <v>Pass</v>
      </c>
    </row>
    <row r="186" spans="1:6" x14ac:dyDescent="0.3">
      <c r="A186" s="2" t="s">
        <v>98</v>
      </c>
      <c r="B186" s="2" t="s">
        <v>235</v>
      </c>
      <c r="C186" s="2" t="s">
        <v>268</v>
      </c>
      <c r="D186" s="2" t="s">
        <v>123</v>
      </c>
      <c r="E186" s="2" t="s">
        <v>123</v>
      </c>
      <c r="F186" t="str">
        <f t="shared" si="2"/>
        <v>Pass</v>
      </c>
    </row>
    <row r="187" spans="1:6" x14ac:dyDescent="0.3">
      <c r="A187" s="2" t="s">
        <v>98</v>
      </c>
      <c r="B187" s="2" t="s">
        <v>235</v>
      </c>
      <c r="C187" s="2" t="s">
        <v>267</v>
      </c>
      <c r="D187" s="2" t="s">
        <v>123</v>
      </c>
      <c r="E187" s="2" t="s">
        <v>123</v>
      </c>
      <c r="F187" t="str">
        <f t="shared" si="2"/>
        <v>Pass</v>
      </c>
    </row>
    <row r="188" spans="1:6" x14ac:dyDescent="0.3">
      <c r="A188" s="2" t="s">
        <v>98</v>
      </c>
      <c r="B188" s="2" t="s">
        <v>235</v>
      </c>
      <c r="C188" s="2" t="s">
        <v>266</v>
      </c>
      <c r="D188" s="2" t="s">
        <v>123</v>
      </c>
      <c r="E188" s="2" t="s">
        <v>123</v>
      </c>
      <c r="F188" t="str">
        <f t="shared" si="2"/>
        <v>Pass</v>
      </c>
    </row>
    <row r="189" spans="1:6" x14ac:dyDescent="0.3">
      <c r="A189" s="2" t="s">
        <v>98</v>
      </c>
      <c r="B189" s="2" t="s">
        <v>235</v>
      </c>
      <c r="C189" s="2" t="s">
        <v>265</v>
      </c>
      <c r="D189" s="2" t="s">
        <v>123</v>
      </c>
      <c r="E189" s="2" t="s">
        <v>123</v>
      </c>
      <c r="F189" t="str">
        <f t="shared" si="2"/>
        <v>Pass</v>
      </c>
    </row>
    <row r="190" spans="1:6" x14ac:dyDescent="0.3">
      <c r="A190" s="2" t="s">
        <v>98</v>
      </c>
      <c r="B190" s="2" t="s">
        <v>235</v>
      </c>
      <c r="C190" s="2" t="s">
        <v>264</v>
      </c>
      <c r="D190" s="2" t="s">
        <v>123</v>
      </c>
      <c r="E190" s="2" t="s">
        <v>123</v>
      </c>
      <c r="F190" t="str">
        <f t="shared" si="2"/>
        <v>Pass</v>
      </c>
    </row>
    <row r="191" spans="1:6" x14ac:dyDescent="0.3">
      <c r="A191" s="2" t="s">
        <v>98</v>
      </c>
      <c r="B191" s="2" t="s">
        <v>235</v>
      </c>
      <c r="C191" s="2" t="s">
        <v>263</v>
      </c>
      <c r="D191" s="2" t="s">
        <v>123</v>
      </c>
      <c r="E191" s="2" t="s">
        <v>123</v>
      </c>
      <c r="F191" t="str">
        <f t="shared" si="2"/>
        <v>Pass</v>
      </c>
    </row>
    <row r="192" spans="1:6" x14ac:dyDescent="0.3">
      <c r="A192" s="2" t="s">
        <v>98</v>
      </c>
      <c r="B192" s="2" t="s">
        <v>235</v>
      </c>
      <c r="C192" s="2" t="s">
        <v>262</v>
      </c>
      <c r="D192" s="2" t="s">
        <v>123</v>
      </c>
      <c r="E192" s="2" t="s">
        <v>123</v>
      </c>
      <c r="F192" t="str">
        <f t="shared" si="2"/>
        <v>Pass</v>
      </c>
    </row>
    <row r="193" spans="1:6" x14ac:dyDescent="0.3">
      <c r="A193" s="2" t="s">
        <v>98</v>
      </c>
      <c r="B193" s="2" t="s">
        <v>235</v>
      </c>
      <c r="C193" s="2" t="s">
        <v>261</v>
      </c>
      <c r="D193" s="2" t="s">
        <v>123</v>
      </c>
      <c r="E193" s="2" t="s">
        <v>123</v>
      </c>
      <c r="F193" t="str">
        <f t="shared" si="2"/>
        <v>Pass</v>
      </c>
    </row>
    <row r="194" spans="1:6" x14ac:dyDescent="0.3">
      <c r="A194" s="2" t="s">
        <v>98</v>
      </c>
      <c r="B194" s="2" t="s">
        <v>235</v>
      </c>
      <c r="C194" s="2" t="s">
        <v>260</v>
      </c>
      <c r="D194" s="2" t="s">
        <v>17</v>
      </c>
      <c r="E194" s="2" t="s">
        <v>17</v>
      </c>
      <c r="F194" t="str">
        <f t="shared" si="2"/>
        <v>Pass</v>
      </c>
    </row>
    <row r="195" spans="1:6" x14ac:dyDescent="0.3">
      <c r="A195" s="2" t="s">
        <v>98</v>
      </c>
      <c r="B195" s="2" t="s">
        <v>235</v>
      </c>
      <c r="C195" s="2" t="s">
        <v>259</v>
      </c>
      <c r="D195" s="2" t="s">
        <v>123</v>
      </c>
      <c r="E195" s="2" t="s">
        <v>123</v>
      </c>
      <c r="F195" t="str">
        <f t="shared" ref="F195:F223" si="3">IF(D195=E195,"Pass","Fail")</f>
        <v>Pass</v>
      </c>
    </row>
    <row r="196" spans="1:6" x14ac:dyDescent="0.3">
      <c r="A196" s="2" t="s">
        <v>98</v>
      </c>
      <c r="B196" s="2" t="s">
        <v>235</v>
      </c>
      <c r="C196" s="2" t="s">
        <v>258</v>
      </c>
      <c r="D196" s="2" t="s">
        <v>123</v>
      </c>
      <c r="E196" s="2" t="s">
        <v>123</v>
      </c>
      <c r="F196" t="str">
        <f t="shared" si="3"/>
        <v>Pass</v>
      </c>
    </row>
    <row r="197" spans="1:6" x14ac:dyDescent="0.3">
      <c r="A197" s="2" t="s">
        <v>98</v>
      </c>
      <c r="B197" s="2" t="s">
        <v>235</v>
      </c>
      <c r="C197" s="2" t="s">
        <v>257</v>
      </c>
      <c r="D197" s="2" t="s">
        <v>123</v>
      </c>
      <c r="E197" s="2" t="s">
        <v>123</v>
      </c>
      <c r="F197" t="str">
        <f t="shared" si="3"/>
        <v>Pass</v>
      </c>
    </row>
    <row r="198" spans="1:6" x14ac:dyDescent="0.3">
      <c r="A198" s="2" t="s">
        <v>98</v>
      </c>
      <c r="B198" s="2" t="s">
        <v>235</v>
      </c>
      <c r="C198" s="2" t="s">
        <v>256</v>
      </c>
      <c r="D198" s="2" t="s">
        <v>123</v>
      </c>
      <c r="E198" s="2" t="s">
        <v>123</v>
      </c>
      <c r="F198" t="str">
        <f t="shared" si="3"/>
        <v>Pass</v>
      </c>
    </row>
    <row r="199" spans="1:6" x14ac:dyDescent="0.3">
      <c r="A199" s="2" t="s">
        <v>98</v>
      </c>
      <c r="B199" s="2" t="s">
        <v>235</v>
      </c>
      <c r="C199" s="2" t="s">
        <v>255</v>
      </c>
      <c r="D199" s="2" t="s">
        <v>123</v>
      </c>
      <c r="E199" s="2" t="s">
        <v>123</v>
      </c>
      <c r="F199" t="str">
        <f t="shared" si="3"/>
        <v>Pass</v>
      </c>
    </row>
    <row r="200" spans="1:6" x14ac:dyDescent="0.3">
      <c r="A200" s="2" t="s">
        <v>98</v>
      </c>
      <c r="B200" s="2" t="s">
        <v>235</v>
      </c>
      <c r="C200" s="2" t="s">
        <v>254</v>
      </c>
      <c r="D200" s="2" t="s">
        <v>123</v>
      </c>
      <c r="E200" s="2" t="s">
        <v>123</v>
      </c>
      <c r="F200" t="str">
        <f t="shared" si="3"/>
        <v>Pass</v>
      </c>
    </row>
    <row r="201" spans="1:6" x14ac:dyDescent="0.3">
      <c r="A201" s="2" t="s">
        <v>98</v>
      </c>
      <c r="B201" s="2" t="s">
        <v>235</v>
      </c>
      <c r="C201" s="2" t="s">
        <v>253</v>
      </c>
      <c r="D201" s="2" t="s">
        <v>123</v>
      </c>
      <c r="E201" s="2" t="s">
        <v>123</v>
      </c>
      <c r="F201" t="str">
        <f t="shared" si="3"/>
        <v>Pass</v>
      </c>
    </row>
    <row r="202" spans="1:6" x14ac:dyDescent="0.3">
      <c r="A202" s="2" t="s">
        <v>98</v>
      </c>
      <c r="B202" s="2" t="s">
        <v>235</v>
      </c>
      <c r="C202" s="2" t="s">
        <v>252</v>
      </c>
      <c r="D202" s="2" t="s">
        <v>123</v>
      </c>
      <c r="E202" s="2" t="s">
        <v>123</v>
      </c>
      <c r="F202" t="str">
        <f t="shared" si="3"/>
        <v>Pass</v>
      </c>
    </row>
    <row r="203" spans="1:6" x14ac:dyDescent="0.3">
      <c r="A203" s="2" t="s">
        <v>98</v>
      </c>
      <c r="B203" s="2" t="s">
        <v>235</v>
      </c>
      <c r="C203" s="2" t="s">
        <v>251</v>
      </c>
      <c r="D203" s="2" t="s">
        <v>123</v>
      </c>
      <c r="E203" s="2" t="s">
        <v>123</v>
      </c>
      <c r="F203" t="str">
        <f t="shared" si="3"/>
        <v>Pass</v>
      </c>
    </row>
    <row r="204" spans="1:6" x14ac:dyDescent="0.3">
      <c r="A204" s="2" t="s">
        <v>98</v>
      </c>
      <c r="B204" s="2" t="s">
        <v>235</v>
      </c>
      <c r="C204" s="2" t="s">
        <v>250</v>
      </c>
      <c r="D204" s="2" t="s">
        <v>17</v>
      </c>
      <c r="E204" s="2" t="s">
        <v>17</v>
      </c>
      <c r="F204" t="str">
        <f t="shared" si="3"/>
        <v>Pass</v>
      </c>
    </row>
    <row r="205" spans="1:6" x14ac:dyDescent="0.3">
      <c r="A205" s="2" t="s">
        <v>98</v>
      </c>
      <c r="B205" s="2" t="s">
        <v>235</v>
      </c>
      <c r="C205" s="2" t="s">
        <v>249</v>
      </c>
      <c r="D205" s="2" t="s">
        <v>224</v>
      </c>
      <c r="E205" s="2" t="s">
        <v>224</v>
      </c>
      <c r="F205" t="str">
        <f t="shared" si="3"/>
        <v>Pass</v>
      </c>
    </row>
    <row r="206" spans="1:6" x14ac:dyDescent="0.3">
      <c r="A206" s="2" t="s">
        <v>98</v>
      </c>
      <c r="B206" s="2" t="s">
        <v>235</v>
      </c>
      <c r="C206" s="2" t="s">
        <v>248</v>
      </c>
      <c r="D206" s="2" t="s">
        <v>17</v>
      </c>
      <c r="E206" s="2" t="s">
        <v>17</v>
      </c>
      <c r="F206" t="str">
        <f t="shared" si="3"/>
        <v>Pass</v>
      </c>
    </row>
    <row r="207" spans="1:6" x14ac:dyDescent="0.3">
      <c r="A207" s="2" t="s">
        <v>98</v>
      </c>
      <c r="B207" s="2" t="s">
        <v>235</v>
      </c>
      <c r="C207" s="2" t="s">
        <v>247</v>
      </c>
      <c r="D207" s="2" t="s">
        <v>123</v>
      </c>
      <c r="E207" s="2" t="s">
        <v>123</v>
      </c>
      <c r="F207" t="str">
        <f t="shared" si="3"/>
        <v>Pass</v>
      </c>
    </row>
    <row r="208" spans="1:6" x14ac:dyDescent="0.3">
      <c r="A208" s="2" t="s">
        <v>98</v>
      </c>
      <c r="B208" s="2" t="s">
        <v>235</v>
      </c>
      <c r="C208" s="2" t="s">
        <v>246</v>
      </c>
      <c r="D208" s="2" t="s">
        <v>123</v>
      </c>
      <c r="E208" s="2" t="s">
        <v>123</v>
      </c>
      <c r="F208" t="str">
        <f t="shared" si="3"/>
        <v>Pass</v>
      </c>
    </row>
    <row r="209" spans="1:6" x14ac:dyDescent="0.3">
      <c r="A209" s="2" t="s">
        <v>98</v>
      </c>
      <c r="B209" s="2" t="s">
        <v>235</v>
      </c>
      <c r="C209" s="2" t="s">
        <v>245</v>
      </c>
      <c r="D209" s="2" t="s">
        <v>123</v>
      </c>
      <c r="E209" s="2" t="s">
        <v>123</v>
      </c>
      <c r="F209" t="str">
        <f t="shared" si="3"/>
        <v>Pass</v>
      </c>
    </row>
    <row r="210" spans="1:6" x14ac:dyDescent="0.3">
      <c r="A210" s="2" t="s">
        <v>98</v>
      </c>
      <c r="B210" s="2" t="s">
        <v>235</v>
      </c>
      <c r="C210" s="2" t="s">
        <v>244</v>
      </c>
      <c r="D210" s="2" t="s">
        <v>123</v>
      </c>
      <c r="E210" s="2" t="s">
        <v>123</v>
      </c>
      <c r="F210" t="str">
        <f t="shared" si="3"/>
        <v>Pass</v>
      </c>
    </row>
    <row r="211" spans="1:6" x14ac:dyDescent="0.3">
      <c r="A211" s="2" t="s">
        <v>98</v>
      </c>
      <c r="B211" s="2" t="s">
        <v>235</v>
      </c>
      <c r="C211" s="2" t="s">
        <v>243</v>
      </c>
      <c r="D211" s="2" t="s">
        <v>123</v>
      </c>
      <c r="E211" s="2" t="s">
        <v>123</v>
      </c>
      <c r="F211" t="str">
        <f t="shared" si="3"/>
        <v>Pass</v>
      </c>
    </row>
    <row r="212" spans="1:6" x14ac:dyDescent="0.3">
      <c r="A212" s="2" t="s">
        <v>98</v>
      </c>
      <c r="B212" s="2" t="s">
        <v>235</v>
      </c>
      <c r="C212" s="2" t="s">
        <v>242</v>
      </c>
      <c r="D212" s="2" t="s">
        <v>123</v>
      </c>
      <c r="E212" s="2" t="s">
        <v>123</v>
      </c>
      <c r="F212" t="str">
        <f t="shared" si="3"/>
        <v>Pass</v>
      </c>
    </row>
    <row r="213" spans="1:6" x14ac:dyDescent="0.3">
      <c r="A213" s="2" t="s">
        <v>98</v>
      </c>
      <c r="B213" s="2" t="s">
        <v>235</v>
      </c>
      <c r="C213" s="2" t="s">
        <v>241</v>
      </c>
      <c r="D213" s="2" t="s">
        <v>123</v>
      </c>
      <c r="E213" s="2" t="s">
        <v>123</v>
      </c>
      <c r="F213" t="str">
        <f t="shared" si="3"/>
        <v>Pass</v>
      </c>
    </row>
    <row r="214" spans="1:6" x14ac:dyDescent="0.3">
      <c r="A214" s="2" t="s">
        <v>98</v>
      </c>
      <c r="B214" s="2" t="s">
        <v>235</v>
      </c>
      <c r="C214" s="2" t="s">
        <v>240</v>
      </c>
      <c r="D214" s="2" t="s">
        <v>17</v>
      </c>
      <c r="E214" s="2" t="s">
        <v>17</v>
      </c>
      <c r="F214" t="str">
        <f t="shared" si="3"/>
        <v>Pass</v>
      </c>
    </row>
    <row r="215" spans="1:6" x14ac:dyDescent="0.3">
      <c r="A215" s="2" t="s">
        <v>98</v>
      </c>
      <c r="B215" s="2" t="s">
        <v>235</v>
      </c>
      <c r="C215" s="2" t="s">
        <v>239</v>
      </c>
      <c r="D215" s="2" t="s">
        <v>123</v>
      </c>
      <c r="E215" s="2" t="s">
        <v>123</v>
      </c>
      <c r="F215" t="str">
        <f t="shared" si="3"/>
        <v>Pass</v>
      </c>
    </row>
    <row r="216" spans="1:6" x14ac:dyDescent="0.3">
      <c r="A216" s="2" t="s">
        <v>98</v>
      </c>
      <c r="B216" s="2" t="s">
        <v>235</v>
      </c>
      <c r="C216" s="2" t="s">
        <v>238</v>
      </c>
      <c r="D216" s="2" t="s">
        <v>17</v>
      </c>
      <c r="E216" s="2" t="s">
        <v>17</v>
      </c>
      <c r="F216" t="str">
        <f t="shared" si="3"/>
        <v>Pass</v>
      </c>
    </row>
    <row r="217" spans="1:6" x14ac:dyDescent="0.3">
      <c r="A217" s="2" t="s">
        <v>98</v>
      </c>
      <c r="B217" s="2" t="s">
        <v>235</v>
      </c>
      <c r="C217" s="2" t="s">
        <v>237</v>
      </c>
      <c r="D217" s="2" t="s">
        <v>123</v>
      </c>
      <c r="E217" s="2" t="s">
        <v>123</v>
      </c>
      <c r="F217" t="str">
        <f t="shared" si="3"/>
        <v>Pass</v>
      </c>
    </row>
    <row r="218" spans="1:6" x14ac:dyDescent="0.3">
      <c r="A218" s="2" t="s">
        <v>98</v>
      </c>
      <c r="B218" s="2" t="s">
        <v>235</v>
      </c>
      <c r="C218" s="2" t="s">
        <v>236</v>
      </c>
      <c r="D218" s="2" t="s">
        <v>123</v>
      </c>
      <c r="E218" s="2" t="s">
        <v>123</v>
      </c>
      <c r="F218" t="str">
        <f t="shared" si="3"/>
        <v>Pass</v>
      </c>
    </row>
    <row r="219" spans="1:6" x14ac:dyDescent="0.3">
      <c r="A219" s="2" t="s">
        <v>98</v>
      </c>
      <c r="B219" s="2" t="s">
        <v>235</v>
      </c>
      <c r="C219" s="2" t="s">
        <v>234</v>
      </c>
      <c r="D219" s="2" t="s">
        <v>17</v>
      </c>
      <c r="E219" s="2" t="s">
        <v>17</v>
      </c>
      <c r="F219" t="str">
        <f t="shared" si="3"/>
        <v>Pass</v>
      </c>
    </row>
    <row r="220" spans="1:6" x14ac:dyDescent="0.3">
      <c r="A220" s="2" t="s">
        <v>98</v>
      </c>
      <c r="B220" s="2" t="s">
        <v>228</v>
      </c>
      <c r="C220" s="2" t="s">
        <v>233</v>
      </c>
      <c r="D220" s="3" t="s">
        <v>21</v>
      </c>
      <c r="E220" s="3" t="s">
        <v>21</v>
      </c>
      <c r="F220" t="str">
        <f t="shared" si="3"/>
        <v>Pass</v>
      </c>
    </row>
    <row r="221" spans="1:6" x14ac:dyDescent="0.3">
      <c r="A221" s="2" t="s">
        <v>98</v>
      </c>
      <c r="B221" s="2" t="s">
        <v>228</v>
      </c>
      <c r="C221" s="2" t="s">
        <v>232</v>
      </c>
      <c r="D221" s="3" t="s">
        <v>21</v>
      </c>
      <c r="E221" s="3" t="s">
        <v>21</v>
      </c>
      <c r="F221" t="str">
        <f t="shared" si="3"/>
        <v>Pass</v>
      </c>
    </row>
    <row r="222" spans="1:6" x14ac:dyDescent="0.3">
      <c r="A222" s="2" t="s">
        <v>98</v>
      </c>
      <c r="B222" s="2" t="s">
        <v>228</v>
      </c>
      <c r="C222" s="2" t="s">
        <v>231</v>
      </c>
      <c r="D222" s="3" t="s">
        <v>21</v>
      </c>
      <c r="E222" s="3" t="s">
        <v>21</v>
      </c>
      <c r="F222" t="str">
        <f t="shared" si="3"/>
        <v>Pass</v>
      </c>
    </row>
    <row r="223" spans="1:6" x14ac:dyDescent="0.3">
      <c r="A223" s="2" t="s">
        <v>98</v>
      </c>
      <c r="B223" s="2" t="s">
        <v>228</v>
      </c>
      <c r="C223" s="2" t="s">
        <v>230</v>
      </c>
      <c r="D223" s="3" t="s">
        <v>21</v>
      </c>
      <c r="E223" s="3" t="s">
        <v>21</v>
      </c>
      <c r="F223" t="str">
        <f t="shared" si="3"/>
        <v>Pass</v>
      </c>
    </row>
    <row r="224" spans="1:6" x14ac:dyDescent="0.3">
      <c r="A224" s="2" t="s">
        <v>98</v>
      </c>
      <c r="B224" s="2" t="s">
        <v>228</v>
      </c>
      <c r="C224" s="2" t="s">
        <v>229</v>
      </c>
      <c r="D224" s="5" t="s">
        <v>30</v>
      </c>
      <c r="E224" s="5" t="s">
        <v>30</v>
      </c>
      <c r="F224" t="s">
        <v>464</v>
      </c>
    </row>
    <row r="225" spans="1:6" x14ac:dyDescent="0.3">
      <c r="A225" s="2" t="s">
        <v>98</v>
      </c>
      <c r="B225" s="2" t="s">
        <v>228</v>
      </c>
      <c r="C225" s="2" t="s">
        <v>227</v>
      </c>
      <c r="D225" s="3" t="s">
        <v>21</v>
      </c>
      <c r="E225" s="3" t="s">
        <v>21</v>
      </c>
      <c r="F225" t="str">
        <f t="shared" ref="F225:F256" si="4">IF(D225=E225,"Pass","Fail")</f>
        <v>Pass</v>
      </c>
    </row>
    <row r="226" spans="1:6" x14ac:dyDescent="0.3">
      <c r="A226" s="2" t="s">
        <v>98</v>
      </c>
      <c r="B226" s="2" t="s">
        <v>226</v>
      </c>
      <c r="C226" s="2" t="s">
        <v>222</v>
      </c>
      <c r="D226" s="3" t="s">
        <v>221</v>
      </c>
      <c r="E226" s="3" t="s">
        <v>221</v>
      </c>
      <c r="F226" t="str">
        <f t="shared" si="4"/>
        <v>Pass</v>
      </c>
    </row>
    <row r="227" spans="1:6" x14ac:dyDescent="0.3">
      <c r="A227" s="2" t="s">
        <v>98</v>
      </c>
      <c r="B227" s="2" t="s">
        <v>225</v>
      </c>
      <c r="C227" s="2" t="s">
        <v>222</v>
      </c>
      <c r="D227" s="3" t="s">
        <v>224</v>
      </c>
      <c r="E227" s="3" t="s">
        <v>224</v>
      </c>
      <c r="F227" t="str">
        <f t="shared" si="4"/>
        <v>Pass</v>
      </c>
    </row>
    <row r="228" spans="1:6" x14ac:dyDescent="0.3">
      <c r="A228" s="2" t="s">
        <v>98</v>
      </c>
      <c r="B228" s="2" t="s">
        <v>223</v>
      </c>
      <c r="C228" s="2" t="s">
        <v>222</v>
      </c>
      <c r="D228" s="3" t="s">
        <v>221</v>
      </c>
      <c r="E228" s="3" t="s">
        <v>221</v>
      </c>
      <c r="F228" t="str">
        <f t="shared" si="4"/>
        <v>Pass</v>
      </c>
    </row>
    <row r="229" spans="1:6" x14ac:dyDescent="0.3">
      <c r="A229" s="2" t="s">
        <v>98</v>
      </c>
      <c r="B229" s="2" t="s">
        <v>220</v>
      </c>
      <c r="C229" s="2" t="s">
        <v>219</v>
      </c>
      <c r="D229" s="3" t="s">
        <v>21</v>
      </c>
      <c r="E229" s="3" t="s">
        <v>21</v>
      </c>
      <c r="F229" t="str">
        <f t="shared" si="4"/>
        <v>Pass</v>
      </c>
    </row>
    <row r="230" spans="1:6" x14ac:dyDescent="0.3">
      <c r="A230" s="2" t="s">
        <v>98</v>
      </c>
      <c r="B230" s="2" t="s">
        <v>217</v>
      </c>
      <c r="C230" s="2" t="s">
        <v>218</v>
      </c>
      <c r="D230" s="3" t="s">
        <v>17</v>
      </c>
      <c r="E230" s="3" t="s">
        <v>17</v>
      </c>
      <c r="F230" t="str">
        <f t="shared" si="4"/>
        <v>Pass</v>
      </c>
    </row>
    <row r="231" spans="1:6" x14ac:dyDescent="0.3">
      <c r="A231" s="2" t="s">
        <v>98</v>
      </c>
      <c r="B231" s="2" t="s">
        <v>217</v>
      </c>
      <c r="C231" s="2" t="s">
        <v>216</v>
      </c>
      <c r="D231" s="3" t="s">
        <v>17</v>
      </c>
      <c r="E231" s="3" t="s">
        <v>17</v>
      </c>
      <c r="F231" t="str">
        <f t="shared" si="4"/>
        <v>Pass</v>
      </c>
    </row>
    <row r="232" spans="1:6" x14ac:dyDescent="0.3">
      <c r="A232" s="2" t="s">
        <v>98</v>
      </c>
      <c r="B232" s="2" t="s">
        <v>214</v>
      </c>
      <c r="C232" s="2" t="s">
        <v>215</v>
      </c>
      <c r="D232" s="3" t="s">
        <v>17</v>
      </c>
      <c r="E232" s="3" t="s">
        <v>17</v>
      </c>
      <c r="F232" t="str">
        <f t="shared" si="4"/>
        <v>Pass</v>
      </c>
    </row>
    <row r="233" spans="1:6" x14ac:dyDescent="0.3">
      <c r="A233" s="2" t="s">
        <v>98</v>
      </c>
      <c r="B233" s="2" t="s">
        <v>214</v>
      </c>
      <c r="C233" s="2" t="s">
        <v>213</v>
      </c>
      <c r="D233" s="3" t="s">
        <v>17</v>
      </c>
      <c r="E233" s="3" t="s">
        <v>17</v>
      </c>
      <c r="F233" t="str">
        <f t="shared" si="4"/>
        <v>Pass</v>
      </c>
    </row>
    <row r="234" spans="1:6" x14ac:dyDescent="0.3">
      <c r="A234" s="2" t="s">
        <v>98</v>
      </c>
      <c r="B234" s="2" t="s">
        <v>212</v>
      </c>
      <c r="C234" s="2" t="s">
        <v>211</v>
      </c>
      <c r="D234" s="3" t="s">
        <v>17</v>
      </c>
      <c r="E234" s="3" t="s">
        <v>17</v>
      </c>
      <c r="F234" t="str">
        <f t="shared" si="4"/>
        <v>Pass</v>
      </c>
    </row>
    <row r="235" spans="1:6" x14ac:dyDescent="0.3">
      <c r="A235" s="2" t="s">
        <v>98</v>
      </c>
      <c r="B235" s="2" t="s">
        <v>210</v>
      </c>
      <c r="C235" s="2" t="s">
        <v>209</v>
      </c>
      <c r="D235" s="3" t="s">
        <v>17</v>
      </c>
      <c r="E235" s="3" t="s">
        <v>17</v>
      </c>
      <c r="F235" t="str">
        <f t="shared" si="4"/>
        <v>Pass</v>
      </c>
    </row>
    <row r="236" spans="1:6" x14ac:dyDescent="0.3">
      <c r="A236" s="2" t="s">
        <v>98</v>
      </c>
      <c r="B236" s="2" t="s">
        <v>207</v>
      </c>
      <c r="C236" s="2" t="s">
        <v>208</v>
      </c>
      <c r="D236" s="3" t="s">
        <v>205</v>
      </c>
      <c r="E236" s="3" t="s">
        <v>205</v>
      </c>
      <c r="F236" t="str">
        <f t="shared" si="4"/>
        <v>Pass</v>
      </c>
    </row>
    <row r="237" spans="1:6" x14ac:dyDescent="0.3">
      <c r="A237" s="2" t="s">
        <v>98</v>
      </c>
      <c r="B237" s="2" t="s">
        <v>207</v>
      </c>
      <c r="C237" s="2" t="s">
        <v>206</v>
      </c>
      <c r="D237" s="3" t="s">
        <v>205</v>
      </c>
      <c r="E237" s="3" t="s">
        <v>205</v>
      </c>
      <c r="F237" t="str">
        <f t="shared" si="4"/>
        <v>Pass</v>
      </c>
    </row>
    <row r="238" spans="1:6" x14ac:dyDescent="0.3">
      <c r="A238" s="2" t="s">
        <v>98</v>
      </c>
      <c r="B238" s="2" t="s">
        <v>203</v>
      </c>
      <c r="C238" s="2" t="s">
        <v>204</v>
      </c>
      <c r="D238" s="3" t="s">
        <v>21</v>
      </c>
      <c r="E238" s="3" t="s">
        <v>21</v>
      </c>
      <c r="F238" t="str">
        <f t="shared" si="4"/>
        <v>Pass</v>
      </c>
    </row>
    <row r="239" spans="1:6" x14ac:dyDescent="0.3">
      <c r="A239" s="2" t="s">
        <v>98</v>
      </c>
      <c r="B239" s="2" t="s">
        <v>203</v>
      </c>
      <c r="C239" s="2" t="s">
        <v>202</v>
      </c>
      <c r="D239" s="3" t="s">
        <v>21</v>
      </c>
      <c r="E239" s="3" t="s">
        <v>21</v>
      </c>
      <c r="F239" t="str">
        <f t="shared" si="4"/>
        <v>Pass</v>
      </c>
    </row>
    <row r="240" spans="1:6" x14ac:dyDescent="0.3">
      <c r="A240" s="2" t="s">
        <v>98</v>
      </c>
      <c r="B240" s="2" t="s">
        <v>199</v>
      </c>
      <c r="C240" s="2" t="s">
        <v>201</v>
      </c>
      <c r="D240" s="3" t="s">
        <v>200</v>
      </c>
      <c r="E240" s="3" t="s">
        <v>200</v>
      </c>
      <c r="F240" t="str">
        <f t="shared" si="4"/>
        <v>Pass</v>
      </c>
    </row>
    <row r="241" spans="1:6" x14ac:dyDescent="0.3">
      <c r="A241" s="2" t="s">
        <v>98</v>
      </c>
      <c r="B241" s="2" t="s">
        <v>199</v>
      </c>
      <c r="C241" s="2" t="s">
        <v>198</v>
      </c>
      <c r="D241" s="3" t="s">
        <v>21</v>
      </c>
      <c r="E241" s="3" t="s">
        <v>21</v>
      </c>
      <c r="F241" t="str">
        <f t="shared" si="4"/>
        <v>Pass</v>
      </c>
    </row>
    <row r="242" spans="1:6" x14ac:dyDescent="0.3">
      <c r="A242" s="2" t="s">
        <v>98</v>
      </c>
      <c r="B242" s="2" t="s">
        <v>197</v>
      </c>
      <c r="C242" s="2" t="s">
        <v>16</v>
      </c>
      <c r="D242" s="2" t="s">
        <v>196</v>
      </c>
      <c r="E242" s="2" t="s">
        <v>196</v>
      </c>
      <c r="F242" t="str">
        <f t="shared" si="4"/>
        <v>Pass</v>
      </c>
    </row>
    <row r="243" spans="1:6" x14ac:dyDescent="0.3">
      <c r="A243" s="2" t="s">
        <v>98</v>
      </c>
      <c r="B243" s="2" t="s">
        <v>195</v>
      </c>
      <c r="C243" s="2" t="s">
        <v>172</v>
      </c>
      <c r="D243" s="2" t="s">
        <v>17</v>
      </c>
      <c r="E243" s="2" t="s">
        <v>17</v>
      </c>
      <c r="F243" t="str">
        <f t="shared" si="4"/>
        <v>Pass</v>
      </c>
    </row>
    <row r="244" spans="1:6" x14ac:dyDescent="0.3">
      <c r="A244" s="2" t="s">
        <v>98</v>
      </c>
      <c r="B244" s="2" t="s">
        <v>195</v>
      </c>
      <c r="C244" s="2" t="s">
        <v>190</v>
      </c>
      <c r="D244" s="2" t="s">
        <v>21</v>
      </c>
      <c r="E244" s="2" t="s">
        <v>21</v>
      </c>
      <c r="F244" t="str">
        <f t="shared" si="4"/>
        <v>Pass</v>
      </c>
    </row>
    <row r="245" spans="1:6" x14ac:dyDescent="0.3">
      <c r="A245" s="2" t="s">
        <v>98</v>
      </c>
      <c r="B245" s="2" t="s">
        <v>194</v>
      </c>
      <c r="C245" s="2" t="s">
        <v>176</v>
      </c>
      <c r="D245" s="2" t="s">
        <v>193</v>
      </c>
      <c r="E245" s="2" t="s">
        <v>193</v>
      </c>
      <c r="F245" t="str">
        <f t="shared" si="4"/>
        <v>Pass</v>
      </c>
    </row>
    <row r="246" spans="1:6" x14ac:dyDescent="0.3">
      <c r="A246" s="2" t="s">
        <v>98</v>
      </c>
      <c r="B246" s="2" t="s">
        <v>192</v>
      </c>
      <c r="C246" s="2" t="s">
        <v>172</v>
      </c>
      <c r="D246" s="2" t="s">
        <v>17</v>
      </c>
      <c r="E246" s="2" t="s">
        <v>17</v>
      </c>
      <c r="F246" t="str">
        <f t="shared" si="4"/>
        <v>Pass</v>
      </c>
    </row>
    <row r="247" spans="1:6" x14ac:dyDescent="0.3">
      <c r="A247" s="2" t="s">
        <v>98</v>
      </c>
      <c r="B247" s="2" t="s">
        <v>191</v>
      </c>
      <c r="C247" s="2" t="s">
        <v>172</v>
      </c>
      <c r="D247" s="2" t="s">
        <v>17</v>
      </c>
      <c r="E247" s="2" t="s">
        <v>17</v>
      </c>
      <c r="F247" t="str">
        <f t="shared" si="4"/>
        <v>Pass</v>
      </c>
    </row>
    <row r="248" spans="1:6" x14ac:dyDescent="0.3">
      <c r="A248" s="2" t="s">
        <v>98</v>
      </c>
      <c r="B248" s="2" t="s">
        <v>191</v>
      </c>
      <c r="C248" s="2" t="s">
        <v>190</v>
      </c>
      <c r="D248" s="2" t="s">
        <v>21</v>
      </c>
      <c r="E248" s="2" t="s">
        <v>21</v>
      </c>
      <c r="F248" t="str">
        <f t="shared" si="4"/>
        <v>Pass</v>
      </c>
    </row>
    <row r="249" spans="1:6" x14ac:dyDescent="0.3">
      <c r="A249" s="2" t="s">
        <v>98</v>
      </c>
      <c r="B249" s="2" t="s">
        <v>189</v>
      </c>
      <c r="C249" s="2" t="s">
        <v>176</v>
      </c>
      <c r="D249" s="2" t="s">
        <v>188</v>
      </c>
      <c r="E249" s="2" t="s">
        <v>188</v>
      </c>
      <c r="F249" t="str">
        <f t="shared" si="4"/>
        <v>Pass</v>
      </c>
    </row>
    <row r="250" spans="1:6" x14ac:dyDescent="0.3">
      <c r="A250" s="2" t="s">
        <v>98</v>
      </c>
      <c r="B250" s="2" t="s">
        <v>187</v>
      </c>
      <c r="C250" s="2" t="s">
        <v>176</v>
      </c>
      <c r="D250" s="2" t="s">
        <v>186</v>
      </c>
      <c r="E250" s="2" t="s">
        <v>186</v>
      </c>
      <c r="F250" t="str">
        <f t="shared" si="4"/>
        <v>Pass</v>
      </c>
    </row>
    <row r="251" spans="1:6" x14ac:dyDescent="0.3">
      <c r="A251" s="2" t="s">
        <v>98</v>
      </c>
      <c r="B251" s="2" t="s">
        <v>185</v>
      </c>
      <c r="C251" s="2" t="s">
        <v>176</v>
      </c>
      <c r="D251" s="2" t="s">
        <v>184</v>
      </c>
      <c r="E251" s="2" t="s">
        <v>184</v>
      </c>
      <c r="F251" t="str">
        <f t="shared" si="4"/>
        <v>Pass</v>
      </c>
    </row>
    <row r="252" spans="1:6" x14ac:dyDescent="0.3">
      <c r="A252" s="2" t="s">
        <v>98</v>
      </c>
      <c r="B252" s="2" t="s">
        <v>183</v>
      </c>
      <c r="C252" s="2" t="s">
        <v>176</v>
      </c>
      <c r="D252" s="2" t="s">
        <v>182</v>
      </c>
      <c r="E252" s="2" t="s">
        <v>182</v>
      </c>
      <c r="F252" t="str">
        <f t="shared" si="4"/>
        <v>Pass</v>
      </c>
    </row>
    <row r="253" spans="1:6" x14ac:dyDescent="0.3">
      <c r="A253" s="2" t="s">
        <v>98</v>
      </c>
      <c r="B253" s="2" t="s">
        <v>181</v>
      </c>
      <c r="C253" s="2" t="s">
        <v>176</v>
      </c>
      <c r="D253" s="2" t="s">
        <v>180</v>
      </c>
      <c r="E253" s="2" t="s">
        <v>180</v>
      </c>
      <c r="F253" t="str">
        <f t="shared" si="4"/>
        <v>Pass</v>
      </c>
    </row>
    <row r="254" spans="1:6" x14ac:dyDescent="0.3">
      <c r="A254" s="2" t="s">
        <v>98</v>
      </c>
      <c r="B254" s="2" t="s">
        <v>179</v>
      </c>
      <c r="C254" s="2" t="s">
        <v>176</v>
      </c>
      <c r="D254" s="2" t="s">
        <v>178</v>
      </c>
      <c r="E254" s="2" t="s">
        <v>178</v>
      </c>
      <c r="F254" t="str">
        <f t="shared" si="4"/>
        <v>Pass</v>
      </c>
    </row>
    <row r="255" spans="1:6" x14ac:dyDescent="0.3">
      <c r="A255" s="2" t="s">
        <v>98</v>
      </c>
      <c r="B255" s="2" t="s">
        <v>177</v>
      </c>
      <c r="C255" s="2" t="s">
        <v>176</v>
      </c>
      <c r="D255" s="2" t="s">
        <v>175</v>
      </c>
      <c r="E255" s="2" t="s">
        <v>175</v>
      </c>
      <c r="F255" t="str">
        <f t="shared" si="4"/>
        <v>Pass</v>
      </c>
    </row>
    <row r="256" spans="1:6" x14ac:dyDescent="0.3">
      <c r="A256" s="2" t="s">
        <v>98</v>
      </c>
      <c r="B256" s="2" t="s">
        <v>174</v>
      </c>
      <c r="C256" s="2" t="s">
        <v>172</v>
      </c>
      <c r="D256" s="2" t="s">
        <v>17</v>
      </c>
      <c r="E256" s="2" t="s">
        <v>17</v>
      </c>
      <c r="F256" t="str">
        <f t="shared" si="4"/>
        <v>Pass</v>
      </c>
    </row>
    <row r="257" spans="1:6" x14ac:dyDescent="0.3">
      <c r="A257" s="2" t="s">
        <v>98</v>
      </c>
      <c r="B257" s="2" t="s">
        <v>173</v>
      </c>
      <c r="C257" s="2" t="s">
        <v>172</v>
      </c>
      <c r="D257" s="2" t="s">
        <v>17</v>
      </c>
      <c r="E257" s="2" t="s">
        <v>17</v>
      </c>
      <c r="F257" t="str">
        <f t="shared" ref="F257:F288" si="5">IF(D257=E257,"Pass","Fail")</f>
        <v>Pass</v>
      </c>
    </row>
    <row r="258" spans="1:6" x14ac:dyDescent="0.3">
      <c r="A258" s="2" t="s">
        <v>98</v>
      </c>
      <c r="B258" s="2" t="s">
        <v>169</v>
      </c>
      <c r="C258" s="2" t="s">
        <v>171</v>
      </c>
      <c r="D258" s="3" t="s">
        <v>21</v>
      </c>
      <c r="E258" s="3" t="s">
        <v>21</v>
      </c>
      <c r="F258" t="str">
        <f t="shared" si="5"/>
        <v>Pass</v>
      </c>
    </row>
    <row r="259" spans="1:6" x14ac:dyDescent="0.3">
      <c r="A259" s="2" t="s">
        <v>98</v>
      </c>
      <c r="B259" s="2" t="s">
        <v>169</v>
      </c>
      <c r="C259" s="2" t="s">
        <v>170</v>
      </c>
      <c r="D259" s="2" t="s">
        <v>17</v>
      </c>
      <c r="E259" s="2" t="s">
        <v>17</v>
      </c>
      <c r="F259" t="str">
        <f t="shared" si="5"/>
        <v>Pass</v>
      </c>
    </row>
    <row r="260" spans="1:6" x14ac:dyDescent="0.3">
      <c r="A260" s="2" t="s">
        <v>98</v>
      </c>
      <c r="B260" s="2" t="s">
        <v>169</v>
      </c>
      <c r="C260" s="2" t="s">
        <v>168</v>
      </c>
      <c r="D260" s="3" t="s">
        <v>167</v>
      </c>
      <c r="E260" s="3" t="s">
        <v>167</v>
      </c>
      <c r="F260" t="str">
        <f t="shared" si="5"/>
        <v>Pass</v>
      </c>
    </row>
    <row r="261" spans="1:6" x14ac:dyDescent="0.3">
      <c r="A261" s="2" t="s">
        <v>98</v>
      </c>
      <c r="B261" s="2" t="s">
        <v>166</v>
      </c>
      <c r="C261" s="2" t="s">
        <v>165</v>
      </c>
      <c r="D261" s="3" t="s">
        <v>17</v>
      </c>
      <c r="E261" s="3" t="s">
        <v>17</v>
      </c>
      <c r="F261" t="str">
        <f t="shared" si="5"/>
        <v>Pass</v>
      </c>
    </row>
    <row r="262" spans="1:6" x14ac:dyDescent="0.3">
      <c r="A262" s="2" t="s">
        <v>98</v>
      </c>
      <c r="B262" s="2" t="s">
        <v>163</v>
      </c>
      <c r="C262" s="2" t="s">
        <v>162</v>
      </c>
      <c r="D262" s="3" t="s">
        <v>17</v>
      </c>
      <c r="E262" s="3" t="s">
        <v>17</v>
      </c>
      <c r="F262" t="str">
        <f t="shared" si="5"/>
        <v>Pass</v>
      </c>
    </row>
    <row r="263" spans="1:6" x14ac:dyDescent="0.3">
      <c r="A263" s="2" t="s">
        <v>98</v>
      </c>
      <c r="B263" s="2" t="s">
        <v>163</v>
      </c>
      <c r="C263" s="2" t="s">
        <v>164</v>
      </c>
      <c r="D263" s="3" t="s">
        <v>17</v>
      </c>
      <c r="E263" s="3" t="s">
        <v>17</v>
      </c>
      <c r="F263" t="str">
        <f t="shared" si="5"/>
        <v>Pass</v>
      </c>
    </row>
    <row r="264" spans="1:6" x14ac:dyDescent="0.3">
      <c r="A264" s="2" t="s">
        <v>98</v>
      </c>
      <c r="B264" s="2" t="s">
        <v>163</v>
      </c>
      <c r="C264" s="2" t="s">
        <v>161</v>
      </c>
      <c r="D264" s="3" t="s">
        <v>17</v>
      </c>
      <c r="E264" s="3" t="s">
        <v>17</v>
      </c>
      <c r="F264" t="str">
        <f t="shared" si="5"/>
        <v>Pass</v>
      </c>
    </row>
    <row r="265" spans="1:6" x14ac:dyDescent="0.3">
      <c r="A265" s="2" t="s">
        <v>98</v>
      </c>
      <c r="B265" s="2" t="s">
        <v>160</v>
      </c>
      <c r="C265" s="2" t="s">
        <v>162</v>
      </c>
      <c r="D265" s="3" t="s">
        <v>17</v>
      </c>
      <c r="E265" s="3" t="s">
        <v>17</v>
      </c>
      <c r="F265" t="str">
        <f t="shared" si="5"/>
        <v>Pass</v>
      </c>
    </row>
    <row r="266" spans="1:6" x14ac:dyDescent="0.3">
      <c r="A266" s="2" t="s">
        <v>98</v>
      </c>
      <c r="B266" s="2" t="s">
        <v>160</v>
      </c>
      <c r="C266" s="2" t="s">
        <v>161</v>
      </c>
      <c r="D266" s="3" t="s">
        <v>17</v>
      </c>
      <c r="E266" s="3" t="s">
        <v>17</v>
      </c>
      <c r="F266" t="str">
        <f t="shared" si="5"/>
        <v>Pass</v>
      </c>
    </row>
    <row r="267" spans="1:6" x14ac:dyDescent="0.3">
      <c r="A267" s="2" t="s">
        <v>98</v>
      </c>
      <c r="B267" s="2" t="s">
        <v>160</v>
      </c>
      <c r="C267" s="2" t="s">
        <v>159</v>
      </c>
      <c r="D267" s="3" t="s">
        <v>21</v>
      </c>
      <c r="E267" s="3" t="s">
        <v>21</v>
      </c>
      <c r="F267" t="str">
        <f t="shared" si="5"/>
        <v>Pass</v>
      </c>
    </row>
    <row r="268" spans="1:6" x14ac:dyDescent="0.3">
      <c r="A268" s="2" t="s">
        <v>98</v>
      </c>
      <c r="B268" s="2" t="s">
        <v>158</v>
      </c>
      <c r="C268" s="2" t="s">
        <v>157</v>
      </c>
      <c r="D268" s="3" t="s">
        <v>156</v>
      </c>
      <c r="E268" s="3" t="s">
        <v>156</v>
      </c>
      <c r="F268" t="str">
        <f t="shared" si="5"/>
        <v>Pass</v>
      </c>
    </row>
    <row r="269" spans="1:6" x14ac:dyDescent="0.3">
      <c r="A269" s="2" t="s">
        <v>98</v>
      </c>
      <c r="B269" s="2" t="s">
        <v>155</v>
      </c>
      <c r="C269" s="2" t="s">
        <v>153</v>
      </c>
      <c r="D269" s="3" t="s">
        <v>21</v>
      </c>
      <c r="E269" s="3" t="s">
        <v>21</v>
      </c>
      <c r="F269" t="str">
        <f t="shared" si="5"/>
        <v>Pass</v>
      </c>
    </row>
    <row r="270" spans="1:6" x14ac:dyDescent="0.3">
      <c r="A270" s="2" t="s">
        <v>98</v>
      </c>
      <c r="B270" s="2" t="s">
        <v>155</v>
      </c>
      <c r="C270" s="2" t="s">
        <v>152</v>
      </c>
      <c r="D270" s="3" t="s">
        <v>17</v>
      </c>
      <c r="E270" s="3" t="s">
        <v>17</v>
      </c>
      <c r="F270" t="str">
        <f t="shared" si="5"/>
        <v>Pass</v>
      </c>
    </row>
    <row r="271" spans="1:6" x14ac:dyDescent="0.3">
      <c r="A271" s="2" t="s">
        <v>98</v>
      </c>
      <c r="B271" s="2" t="s">
        <v>155</v>
      </c>
      <c r="C271" s="2" t="s">
        <v>150</v>
      </c>
      <c r="D271" s="3" t="s">
        <v>21</v>
      </c>
      <c r="E271" s="3" t="s">
        <v>21</v>
      </c>
      <c r="F271" t="str">
        <f t="shared" si="5"/>
        <v>Pass</v>
      </c>
    </row>
    <row r="272" spans="1:6" x14ac:dyDescent="0.3">
      <c r="A272" s="2" t="s">
        <v>98</v>
      </c>
      <c r="B272" s="2" t="s">
        <v>154</v>
      </c>
      <c r="C272" s="2" t="s">
        <v>153</v>
      </c>
      <c r="D272" s="3" t="s">
        <v>21</v>
      </c>
      <c r="E272" s="3" t="s">
        <v>21</v>
      </c>
      <c r="F272" t="str">
        <f t="shared" si="5"/>
        <v>Pass</v>
      </c>
    </row>
    <row r="273" spans="1:6" x14ac:dyDescent="0.3">
      <c r="A273" s="2" t="s">
        <v>98</v>
      </c>
      <c r="B273" s="2" t="s">
        <v>154</v>
      </c>
      <c r="C273" s="2" t="s">
        <v>152</v>
      </c>
      <c r="D273" s="3" t="s">
        <v>17</v>
      </c>
      <c r="E273" s="3" t="s">
        <v>17</v>
      </c>
      <c r="F273" t="str">
        <f t="shared" si="5"/>
        <v>Pass</v>
      </c>
    </row>
    <row r="274" spans="1:6" x14ac:dyDescent="0.3">
      <c r="A274" s="2" t="s">
        <v>98</v>
      </c>
      <c r="B274" s="2" t="s">
        <v>154</v>
      </c>
      <c r="C274" s="2" t="s">
        <v>150</v>
      </c>
      <c r="D274" s="3" t="s">
        <v>21</v>
      </c>
      <c r="E274" s="3" t="s">
        <v>21</v>
      </c>
      <c r="F274" t="str">
        <f t="shared" si="5"/>
        <v>Pass</v>
      </c>
    </row>
    <row r="275" spans="1:6" x14ac:dyDescent="0.3">
      <c r="A275" s="2" t="s">
        <v>98</v>
      </c>
      <c r="B275" s="2" t="s">
        <v>151</v>
      </c>
      <c r="C275" s="2" t="s">
        <v>153</v>
      </c>
      <c r="D275" s="3" t="s">
        <v>21</v>
      </c>
      <c r="E275" s="3" t="s">
        <v>21</v>
      </c>
      <c r="F275" t="str">
        <f t="shared" si="5"/>
        <v>Pass</v>
      </c>
    </row>
    <row r="276" spans="1:6" x14ac:dyDescent="0.3">
      <c r="A276" s="2" t="s">
        <v>98</v>
      </c>
      <c r="B276" s="2" t="s">
        <v>151</v>
      </c>
      <c r="C276" s="2" t="s">
        <v>152</v>
      </c>
      <c r="D276" s="3" t="s">
        <v>17</v>
      </c>
      <c r="E276" s="3" t="s">
        <v>17</v>
      </c>
      <c r="F276" t="str">
        <f t="shared" si="5"/>
        <v>Pass</v>
      </c>
    </row>
    <row r="277" spans="1:6" x14ac:dyDescent="0.3">
      <c r="A277" s="2" t="s">
        <v>98</v>
      </c>
      <c r="B277" s="2" t="s">
        <v>151</v>
      </c>
      <c r="C277" s="2" t="s">
        <v>150</v>
      </c>
      <c r="D277" s="3" t="s">
        <v>21</v>
      </c>
      <c r="E277" s="3" t="s">
        <v>21</v>
      </c>
      <c r="F277" t="str">
        <f t="shared" si="5"/>
        <v>Pass</v>
      </c>
    </row>
    <row r="278" spans="1:6" x14ac:dyDescent="0.3">
      <c r="A278" s="2" t="s">
        <v>98</v>
      </c>
      <c r="B278" s="2" t="s">
        <v>149</v>
      </c>
      <c r="C278" s="2" t="s">
        <v>148</v>
      </c>
      <c r="D278" s="3" t="s">
        <v>21</v>
      </c>
      <c r="E278" s="3" t="s">
        <v>21</v>
      </c>
      <c r="F278" t="str">
        <f t="shared" si="5"/>
        <v>Pass</v>
      </c>
    </row>
    <row r="279" spans="1:6" x14ac:dyDescent="0.3">
      <c r="A279" s="2" t="s">
        <v>98</v>
      </c>
      <c r="B279" s="2" t="s">
        <v>140</v>
      </c>
      <c r="C279" s="2" t="s">
        <v>147</v>
      </c>
      <c r="D279" s="3" t="s">
        <v>21</v>
      </c>
      <c r="E279" s="3" t="s">
        <v>21</v>
      </c>
      <c r="F279" t="str">
        <f t="shared" si="5"/>
        <v>Pass</v>
      </c>
    </row>
    <row r="280" spans="1:6" x14ac:dyDescent="0.3">
      <c r="A280" s="2" t="s">
        <v>98</v>
      </c>
      <c r="B280" s="2" t="s">
        <v>140</v>
      </c>
      <c r="C280" s="2" t="s">
        <v>146</v>
      </c>
      <c r="D280" s="3" t="s">
        <v>93</v>
      </c>
      <c r="E280" s="3" t="s">
        <v>93</v>
      </c>
      <c r="F280" t="str">
        <f t="shared" si="5"/>
        <v>Pass</v>
      </c>
    </row>
    <row r="281" spans="1:6" x14ac:dyDescent="0.3">
      <c r="A281" s="2" t="s">
        <v>98</v>
      </c>
      <c r="B281" s="2" t="s">
        <v>140</v>
      </c>
      <c r="C281" s="2" t="s">
        <v>145</v>
      </c>
      <c r="D281" s="3" t="s">
        <v>21</v>
      </c>
      <c r="E281" s="3" t="s">
        <v>21</v>
      </c>
      <c r="F281" t="str">
        <f t="shared" si="5"/>
        <v>Pass</v>
      </c>
    </row>
    <row r="282" spans="1:6" x14ac:dyDescent="0.3">
      <c r="A282" s="2" t="s">
        <v>98</v>
      </c>
      <c r="B282" s="2" t="s">
        <v>140</v>
      </c>
      <c r="C282" s="2" t="s">
        <v>144</v>
      </c>
      <c r="D282" s="3" t="s">
        <v>21</v>
      </c>
      <c r="E282" s="3" t="s">
        <v>21</v>
      </c>
      <c r="F282" t="str">
        <f t="shared" si="5"/>
        <v>Pass</v>
      </c>
    </row>
    <row r="283" spans="1:6" x14ac:dyDescent="0.3">
      <c r="A283" s="2" t="s">
        <v>98</v>
      </c>
      <c r="B283" s="2" t="s">
        <v>140</v>
      </c>
      <c r="C283" s="2" t="s">
        <v>143</v>
      </c>
      <c r="D283" s="3" t="s">
        <v>21</v>
      </c>
      <c r="E283" s="3" t="s">
        <v>21</v>
      </c>
      <c r="F283" t="str">
        <f t="shared" si="5"/>
        <v>Pass</v>
      </c>
    </row>
    <row r="284" spans="1:6" x14ac:dyDescent="0.3">
      <c r="A284" s="2" t="s">
        <v>98</v>
      </c>
      <c r="B284" s="2" t="s">
        <v>140</v>
      </c>
      <c r="C284" s="2" t="s">
        <v>142</v>
      </c>
      <c r="D284" s="2" t="s">
        <v>141</v>
      </c>
      <c r="E284" s="2" t="s">
        <v>141</v>
      </c>
      <c r="F284" t="str">
        <f t="shared" si="5"/>
        <v>Pass</v>
      </c>
    </row>
    <row r="285" spans="1:6" x14ac:dyDescent="0.3">
      <c r="A285" s="2" t="s">
        <v>98</v>
      </c>
      <c r="B285" s="2" t="s">
        <v>140</v>
      </c>
      <c r="C285" s="2" t="s">
        <v>139</v>
      </c>
      <c r="D285" s="3" t="s">
        <v>21</v>
      </c>
      <c r="E285" s="3" t="s">
        <v>21</v>
      </c>
      <c r="F285" t="str">
        <f t="shared" si="5"/>
        <v>Pass</v>
      </c>
    </row>
    <row r="286" spans="1:6" x14ac:dyDescent="0.3">
      <c r="A286" s="2" t="s">
        <v>98</v>
      </c>
      <c r="B286" s="2" t="s">
        <v>136</v>
      </c>
      <c r="C286" s="2" t="s">
        <v>138</v>
      </c>
      <c r="D286" s="3" t="s">
        <v>17</v>
      </c>
      <c r="E286" s="3" t="s">
        <v>17</v>
      </c>
      <c r="F286" t="str">
        <f t="shared" si="5"/>
        <v>Pass</v>
      </c>
    </row>
    <row r="287" spans="1:6" x14ac:dyDescent="0.3">
      <c r="A287" s="2" t="s">
        <v>98</v>
      </c>
      <c r="B287" s="2" t="s">
        <v>136</v>
      </c>
      <c r="C287" s="2" t="s">
        <v>137</v>
      </c>
      <c r="D287" s="3" t="s">
        <v>134</v>
      </c>
      <c r="E287" s="3" t="s">
        <v>134</v>
      </c>
      <c r="F287" t="str">
        <f t="shared" si="5"/>
        <v>Pass</v>
      </c>
    </row>
    <row r="288" spans="1:6" x14ac:dyDescent="0.3">
      <c r="A288" s="2" t="s">
        <v>98</v>
      </c>
      <c r="B288" s="2" t="s">
        <v>136</v>
      </c>
      <c r="C288" s="2" t="s">
        <v>135</v>
      </c>
      <c r="D288" s="3" t="s">
        <v>134</v>
      </c>
      <c r="E288" s="3" t="s">
        <v>134</v>
      </c>
      <c r="F288" t="str">
        <f t="shared" si="5"/>
        <v>Pass</v>
      </c>
    </row>
    <row r="289" spans="1:6" x14ac:dyDescent="0.3">
      <c r="A289" s="2" t="s">
        <v>98</v>
      </c>
      <c r="B289" s="2" t="s">
        <v>133</v>
      </c>
      <c r="C289" s="2" t="s">
        <v>132</v>
      </c>
      <c r="D289" s="2" t="s">
        <v>21</v>
      </c>
      <c r="E289" s="4" t="s">
        <v>16</v>
      </c>
      <c r="F289" t="str">
        <f t="shared" ref="F289:F308" si="6">IF(D289=E289,"Pass","Fail")</f>
        <v>Fail</v>
      </c>
    </row>
    <row r="290" spans="1:6" x14ac:dyDescent="0.3">
      <c r="A290" s="2" t="s">
        <v>98</v>
      </c>
      <c r="B290" s="2" t="s">
        <v>131</v>
      </c>
      <c r="C290" s="2" t="s">
        <v>130</v>
      </c>
      <c r="D290" s="3" t="s">
        <v>17</v>
      </c>
      <c r="E290" s="3" t="s">
        <v>17</v>
      </c>
      <c r="F290" t="str">
        <f t="shared" si="6"/>
        <v>Pass</v>
      </c>
    </row>
    <row r="291" spans="1:6" x14ac:dyDescent="0.3">
      <c r="A291" s="2" t="s">
        <v>98</v>
      </c>
      <c r="B291" s="2" t="s">
        <v>129</v>
      </c>
      <c r="C291" s="2" t="s">
        <v>128</v>
      </c>
      <c r="D291" s="3" t="s">
        <v>21</v>
      </c>
      <c r="E291" s="3" t="s">
        <v>21</v>
      </c>
      <c r="F291" t="str">
        <f t="shared" si="6"/>
        <v>Pass</v>
      </c>
    </row>
    <row r="292" spans="1:6" x14ac:dyDescent="0.3">
      <c r="A292" s="2" t="s">
        <v>98</v>
      </c>
      <c r="B292" s="2" t="s">
        <v>127</v>
      </c>
      <c r="C292" s="2" t="s">
        <v>126</v>
      </c>
      <c r="D292" s="3" t="s">
        <v>17</v>
      </c>
      <c r="E292" s="3" t="s">
        <v>17</v>
      </c>
      <c r="F292" t="str">
        <f t="shared" si="6"/>
        <v>Pass</v>
      </c>
    </row>
    <row r="293" spans="1:6" x14ac:dyDescent="0.3">
      <c r="A293" s="2" t="s">
        <v>98</v>
      </c>
      <c r="B293" s="2" t="s">
        <v>125</v>
      </c>
      <c r="C293" s="2" t="s">
        <v>124</v>
      </c>
      <c r="D293" s="3" t="s">
        <v>123</v>
      </c>
      <c r="E293" s="3" t="s">
        <v>123</v>
      </c>
      <c r="F293" t="str">
        <f t="shared" si="6"/>
        <v>Pass</v>
      </c>
    </row>
    <row r="294" spans="1:6" x14ac:dyDescent="0.3">
      <c r="A294" s="2" t="s">
        <v>98</v>
      </c>
      <c r="B294" s="2" t="s">
        <v>119</v>
      </c>
      <c r="C294" s="2" t="s">
        <v>122</v>
      </c>
      <c r="D294" s="2" t="s">
        <v>21</v>
      </c>
      <c r="E294" s="4" t="s">
        <v>16</v>
      </c>
      <c r="F294" t="str">
        <f t="shared" si="6"/>
        <v>Fail</v>
      </c>
    </row>
    <row r="295" spans="1:6" x14ac:dyDescent="0.3">
      <c r="A295" s="2" t="s">
        <v>98</v>
      </c>
      <c r="B295" s="2" t="s">
        <v>119</v>
      </c>
      <c r="C295" s="2" t="s">
        <v>121</v>
      </c>
      <c r="D295" s="2" t="s">
        <v>21</v>
      </c>
      <c r="E295" s="3" t="s">
        <v>21</v>
      </c>
      <c r="F295" t="str">
        <f t="shared" si="6"/>
        <v>Pass</v>
      </c>
    </row>
    <row r="296" spans="1:6" x14ac:dyDescent="0.3">
      <c r="A296" s="2" t="s">
        <v>98</v>
      </c>
      <c r="B296" s="2" t="s">
        <v>119</v>
      </c>
      <c r="C296" s="2" t="s">
        <v>120</v>
      </c>
      <c r="D296" s="3" t="s">
        <v>21</v>
      </c>
      <c r="E296" s="3" t="s">
        <v>21</v>
      </c>
      <c r="F296" t="str">
        <f t="shared" si="6"/>
        <v>Pass</v>
      </c>
    </row>
    <row r="297" spans="1:6" x14ac:dyDescent="0.3">
      <c r="A297" s="2" t="s">
        <v>98</v>
      </c>
      <c r="B297" s="2" t="s">
        <v>119</v>
      </c>
      <c r="C297" s="2" t="s">
        <v>118</v>
      </c>
      <c r="D297" s="3" t="s">
        <v>17</v>
      </c>
      <c r="E297" s="3" t="s">
        <v>17</v>
      </c>
      <c r="F297" t="str">
        <f t="shared" si="6"/>
        <v>Pass</v>
      </c>
    </row>
    <row r="298" spans="1:6" x14ac:dyDescent="0.3">
      <c r="A298" s="2" t="s">
        <v>98</v>
      </c>
      <c r="B298" s="2" t="s">
        <v>117</v>
      </c>
      <c r="C298" s="2" t="s">
        <v>11</v>
      </c>
      <c r="D298" s="3" t="s">
        <v>17</v>
      </c>
      <c r="E298" s="3" t="s">
        <v>17</v>
      </c>
      <c r="F298" t="str">
        <f t="shared" si="6"/>
        <v>Pass</v>
      </c>
    </row>
    <row r="299" spans="1:6" x14ac:dyDescent="0.3">
      <c r="A299" s="2" t="s">
        <v>98</v>
      </c>
      <c r="B299" s="2" t="s">
        <v>117</v>
      </c>
      <c r="C299" s="2" t="s">
        <v>116</v>
      </c>
      <c r="D299" s="3" t="s">
        <v>21</v>
      </c>
      <c r="E299" s="3" t="s">
        <v>21</v>
      </c>
      <c r="F299" t="str">
        <f t="shared" si="6"/>
        <v>Pass</v>
      </c>
    </row>
    <row r="300" spans="1:6" x14ac:dyDescent="0.3">
      <c r="A300" s="2" t="s">
        <v>98</v>
      </c>
      <c r="B300" s="2" t="s">
        <v>115</v>
      </c>
      <c r="C300" s="2" t="s">
        <v>114</v>
      </c>
      <c r="D300" s="3" t="s">
        <v>21</v>
      </c>
      <c r="E300" s="3" t="s">
        <v>21</v>
      </c>
      <c r="F300" t="str">
        <f t="shared" si="6"/>
        <v>Pass</v>
      </c>
    </row>
    <row r="301" spans="1:6" x14ac:dyDescent="0.3">
      <c r="A301" s="2" t="s">
        <v>98</v>
      </c>
      <c r="B301" s="2" t="s">
        <v>113</v>
      </c>
      <c r="C301" s="2" t="s">
        <v>112</v>
      </c>
      <c r="D301" s="3" t="s">
        <v>111</v>
      </c>
      <c r="E301" s="3" t="s">
        <v>111</v>
      </c>
      <c r="F301" t="str">
        <f t="shared" si="6"/>
        <v>Pass</v>
      </c>
    </row>
    <row r="302" spans="1:6" x14ac:dyDescent="0.3">
      <c r="A302" s="2" t="s">
        <v>98</v>
      </c>
      <c r="B302" s="2" t="s">
        <v>109</v>
      </c>
      <c r="C302" s="2" t="s">
        <v>110</v>
      </c>
      <c r="D302" s="3" t="s">
        <v>95</v>
      </c>
      <c r="E302" s="3" t="s">
        <v>95</v>
      </c>
      <c r="F302" t="str">
        <f t="shared" si="6"/>
        <v>Pass</v>
      </c>
    </row>
    <row r="303" spans="1:6" x14ac:dyDescent="0.3">
      <c r="A303" s="2" t="s">
        <v>98</v>
      </c>
      <c r="B303" s="2" t="s">
        <v>109</v>
      </c>
      <c r="C303" s="2" t="s">
        <v>108</v>
      </c>
      <c r="D303" s="3" t="s">
        <v>21</v>
      </c>
      <c r="E303" s="3" t="s">
        <v>21</v>
      </c>
      <c r="F303" t="str">
        <f t="shared" si="6"/>
        <v>Pass</v>
      </c>
    </row>
    <row r="304" spans="1:6" x14ac:dyDescent="0.3">
      <c r="A304" s="2" t="s">
        <v>98</v>
      </c>
      <c r="B304" s="2" t="s">
        <v>104</v>
      </c>
      <c r="C304" s="2" t="s">
        <v>107</v>
      </c>
      <c r="D304" s="2" t="s">
        <v>21</v>
      </c>
      <c r="E304" s="3" t="s">
        <v>21</v>
      </c>
      <c r="F304" t="str">
        <f t="shared" si="6"/>
        <v>Pass</v>
      </c>
    </row>
    <row r="305" spans="1:6" x14ac:dyDescent="0.3">
      <c r="A305" s="2" t="s">
        <v>98</v>
      </c>
      <c r="B305" s="2" t="s">
        <v>104</v>
      </c>
      <c r="C305" s="2" t="s">
        <v>106</v>
      </c>
      <c r="D305" s="3" t="s">
        <v>21</v>
      </c>
      <c r="E305" s="3" t="s">
        <v>21</v>
      </c>
      <c r="F305" t="str">
        <f t="shared" si="6"/>
        <v>Pass</v>
      </c>
    </row>
    <row r="306" spans="1:6" x14ac:dyDescent="0.3">
      <c r="A306" s="2" t="s">
        <v>98</v>
      </c>
      <c r="B306" s="2" t="s">
        <v>104</v>
      </c>
      <c r="C306" s="2" t="s">
        <v>105</v>
      </c>
      <c r="D306" s="3" t="s">
        <v>21</v>
      </c>
      <c r="E306" s="3" t="s">
        <v>21</v>
      </c>
      <c r="F306" t="str">
        <f t="shared" si="6"/>
        <v>Pass</v>
      </c>
    </row>
    <row r="307" spans="1:6" x14ac:dyDescent="0.3">
      <c r="A307" s="2" t="s">
        <v>98</v>
      </c>
      <c r="B307" s="2" t="s">
        <v>104</v>
      </c>
      <c r="C307" s="2" t="s">
        <v>103</v>
      </c>
      <c r="D307" s="3" t="s">
        <v>21</v>
      </c>
      <c r="E307" s="3" t="s">
        <v>21</v>
      </c>
      <c r="F307" t="str">
        <f t="shared" si="6"/>
        <v>Pass</v>
      </c>
    </row>
    <row r="308" spans="1:6" x14ac:dyDescent="0.3">
      <c r="A308" s="2" t="s">
        <v>98</v>
      </c>
      <c r="B308" s="2" t="s">
        <v>101</v>
      </c>
      <c r="C308" s="2" t="s">
        <v>102</v>
      </c>
      <c r="D308" s="2" t="s">
        <v>95</v>
      </c>
      <c r="E308" s="2" t="s">
        <v>95</v>
      </c>
      <c r="F308" t="str">
        <f t="shared" si="6"/>
        <v>Pass</v>
      </c>
    </row>
    <row r="309" spans="1:6" x14ac:dyDescent="0.3">
      <c r="A309" s="2" t="s">
        <v>98</v>
      </c>
      <c r="B309" s="2" t="s">
        <v>101</v>
      </c>
      <c r="C309" s="2" t="s">
        <v>10</v>
      </c>
      <c r="D309" s="5" t="s">
        <v>30</v>
      </c>
      <c r="E309" s="5" t="s">
        <v>95</v>
      </c>
      <c r="F309" t="s">
        <v>464</v>
      </c>
    </row>
    <row r="310" spans="1:6" x14ac:dyDescent="0.3">
      <c r="A310" s="2" t="s">
        <v>98</v>
      </c>
      <c r="B310" s="2" t="s">
        <v>100</v>
      </c>
      <c r="C310" s="2" t="s">
        <v>96</v>
      </c>
      <c r="D310" s="3" t="s">
        <v>95</v>
      </c>
      <c r="E310" s="3" t="s">
        <v>95</v>
      </c>
      <c r="F310" t="str">
        <f t="shared" ref="F310:F319" si="7">IF(D310=E310,"Pass","Fail")</f>
        <v>Pass</v>
      </c>
    </row>
    <row r="311" spans="1:6" x14ac:dyDescent="0.3">
      <c r="A311" s="2" t="s">
        <v>98</v>
      </c>
      <c r="B311" s="2" t="s">
        <v>100</v>
      </c>
      <c r="C311" s="2" t="s">
        <v>99</v>
      </c>
      <c r="D311" s="3" t="s">
        <v>17</v>
      </c>
      <c r="E311" s="3" t="s">
        <v>17</v>
      </c>
      <c r="F311" t="str">
        <f t="shared" si="7"/>
        <v>Pass</v>
      </c>
    </row>
    <row r="312" spans="1:6" x14ac:dyDescent="0.3">
      <c r="A312" s="2" t="s">
        <v>98</v>
      </c>
      <c r="B312" s="2" t="s">
        <v>97</v>
      </c>
      <c r="C312" s="2" t="s">
        <v>96</v>
      </c>
      <c r="D312" s="3" t="s">
        <v>95</v>
      </c>
      <c r="E312" s="3" t="s">
        <v>95</v>
      </c>
      <c r="F312" t="str">
        <f t="shared" si="7"/>
        <v>Pass</v>
      </c>
    </row>
    <row r="313" spans="1:6" x14ac:dyDescent="0.3">
      <c r="A313" s="2" t="s">
        <v>15</v>
      </c>
      <c r="B313" s="2" t="s">
        <v>87</v>
      </c>
      <c r="C313" s="2" t="s">
        <v>94</v>
      </c>
      <c r="D313" s="2" t="s">
        <v>93</v>
      </c>
      <c r="E313" s="4" t="s">
        <v>16</v>
      </c>
      <c r="F313" t="str">
        <f t="shared" si="7"/>
        <v>Fail</v>
      </c>
    </row>
    <row r="314" spans="1:6" x14ac:dyDescent="0.3">
      <c r="A314" s="2" t="s">
        <v>15</v>
      </c>
      <c r="B314" s="2" t="s">
        <v>87</v>
      </c>
      <c r="C314" s="2" t="s">
        <v>92</v>
      </c>
      <c r="D314" s="2" t="s">
        <v>91</v>
      </c>
      <c r="E314" s="4" t="s">
        <v>16</v>
      </c>
      <c r="F314" t="str">
        <f t="shared" si="7"/>
        <v>Fail</v>
      </c>
    </row>
    <row r="315" spans="1:6" x14ac:dyDescent="0.3">
      <c r="A315" s="2" t="s">
        <v>15</v>
      </c>
      <c r="B315" s="2" t="s">
        <v>87</v>
      </c>
      <c r="C315" s="2" t="s">
        <v>90</v>
      </c>
      <c r="D315" s="2" t="s">
        <v>89</v>
      </c>
      <c r="E315" s="4" t="s">
        <v>16</v>
      </c>
      <c r="F315" t="str">
        <f t="shared" si="7"/>
        <v>Fail</v>
      </c>
    </row>
    <row r="316" spans="1:6" x14ac:dyDescent="0.3">
      <c r="A316" s="2" t="s">
        <v>15</v>
      </c>
      <c r="B316" s="2" t="s">
        <v>87</v>
      </c>
      <c r="C316" s="2" t="s">
        <v>88</v>
      </c>
      <c r="D316" s="2" t="s">
        <v>32</v>
      </c>
      <c r="E316" s="4" t="s">
        <v>16</v>
      </c>
      <c r="F316" t="str">
        <f t="shared" si="7"/>
        <v>Fail</v>
      </c>
    </row>
    <row r="317" spans="1:6" x14ac:dyDescent="0.3">
      <c r="A317" s="2" t="s">
        <v>15</v>
      </c>
      <c r="B317" s="2" t="s">
        <v>87</v>
      </c>
      <c r="C317" s="2" t="s">
        <v>86</v>
      </c>
      <c r="D317" s="2" t="s">
        <v>21</v>
      </c>
      <c r="E317" s="4" t="s">
        <v>16</v>
      </c>
      <c r="F317" t="str">
        <f t="shared" si="7"/>
        <v>Fail</v>
      </c>
    </row>
    <row r="318" spans="1:6" x14ac:dyDescent="0.3">
      <c r="A318" s="2" t="s">
        <v>15</v>
      </c>
      <c r="B318" s="2" t="s">
        <v>41</v>
      </c>
      <c r="C318" s="2" t="s">
        <v>85</v>
      </c>
      <c r="D318" s="2" t="s">
        <v>83</v>
      </c>
      <c r="E318" s="4" t="s">
        <v>16</v>
      </c>
      <c r="F318" t="str">
        <f t="shared" si="7"/>
        <v>Fail</v>
      </c>
    </row>
    <row r="319" spans="1:6" x14ac:dyDescent="0.3">
      <c r="A319" s="2" t="s">
        <v>15</v>
      </c>
      <c r="B319" s="2" t="s">
        <v>41</v>
      </c>
      <c r="C319" s="2" t="s">
        <v>84</v>
      </c>
      <c r="D319" s="2" t="s">
        <v>83</v>
      </c>
      <c r="E319" s="4" t="s">
        <v>16</v>
      </c>
      <c r="F319" t="str">
        <f t="shared" si="7"/>
        <v>Fail</v>
      </c>
    </row>
    <row r="320" spans="1:6" x14ac:dyDescent="0.3">
      <c r="A320" s="2" t="s">
        <v>15</v>
      </c>
      <c r="B320" s="2" t="s">
        <v>41</v>
      </c>
      <c r="C320" s="2" t="s">
        <v>9</v>
      </c>
      <c r="D320" s="5" t="s">
        <v>30</v>
      </c>
      <c r="E320" s="5" t="s">
        <v>39</v>
      </c>
      <c r="F320" t="s">
        <v>464</v>
      </c>
    </row>
    <row r="321" spans="1:6" x14ac:dyDescent="0.3">
      <c r="A321" s="2" t="s">
        <v>15</v>
      </c>
      <c r="B321" s="2" t="s">
        <v>41</v>
      </c>
      <c r="C321" s="2" t="s">
        <v>82</v>
      </c>
      <c r="D321" s="2" t="s">
        <v>81</v>
      </c>
      <c r="E321" s="4" t="s">
        <v>16</v>
      </c>
      <c r="F321" t="str">
        <f t="shared" ref="F321:F329" si="8">IF(D321=E321,"Pass","Fail")</f>
        <v>Fail</v>
      </c>
    </row>
    <row r="322" spans="1:6" x14ac:dyDescent="0.3">
      <c r="A322" s="2" t="s">
        <v>15</v>
      </c>
      <c r="B322" s="2" t="s">
        <v>41</v>
      </c>
      <c r="C322" s="2" t="s">
        <v>80</v>
      </c>
      <c r="D322" s="2" t="s">
        <v>79</v>
      </c>
      <c r="E322" s="4" t="s">
        <v>16</v>
      </c>
      <c r="F322" t="str">
        <f t="shared" si="8"/>
        <v>Fail</v>
      </c>
    </row>
    <row r="323" spans="1:6" x14ac:dyDescent="0.3">
      <c r="A323" s="2" t="s">
        <v>15</v>
      </c>
      <c r="B323" s="2" t="s">
        <v>41</v>
      </c>
      <c r="C323" s="2" t="s">
        <v>78</v>
      </c>
      <c r="D323" s="3" t="s">
        <v>67</v>
      </c>
      <c r="E323" s="3" t="s">
        <v>67</v>
      </c>
      <c r="F323" t="str">
        <f t="shared" si="8"/>
        <v>Pass</v>
      </c>
    </row>
    <row r="324" spans="1:6" x14ac:dyDescent="0.3">
      <c r="A324" s="2" t="s">
        <v>15</v>
      </c>
      <c r="B324" s="2" t="s">
        <v>41</v>
      </c>
      <c r="C324" s="2" t="s">
        <v>77</v>
      </c>
      <c r="D324" s="3" t="s">
        <v>39</v>
      </c>
      <c r="E324" s="3" t="s">
        <v>39</v>
      </c>
      <c r="F324" t="str">
        <f t="shared" si="8"/>
        <v>Pass</v>
      </c>
    </row>
    <row r="325" spans="1:6" x14ac:dyDescent="0.3">
      <c r="A325" s="2" t="s">
        <v>15</v>
      </c>
      <c r="B325" s="2" t="s">
        <v>41</v>
      </c>
      <c r="C325" s="2" t="s">
        <v>76</v>
      </c>
      <c r="D325" s="3" t="s">
        <v>16</v>
      </c>
      <c r="E325" s="3" t="s">
        <v>16</v>
      </c>
      <c r="F325" t="str">
        <f t="shared" si="8"/>
        <v>Pass</v>
      </c>
    </row>
    <row r="326" spans="1:6" x14ac:dyDescent="0.3">
      <c r="A326" s="2" t="s">
        <v>15</v>
      </c>
      <c r="B326" s="2" t="s">
        <v>41</v>
      </c>
      <c r="C326" s="2" t="s">
        <v>75</v>
      </c>
      <c r="D326" s="3" t="s">
        <v>16</v>
      </c>
      <c r="E326" s="3" t="s">
        <v>16</v>
      </c>
      <c r="F326" t="str">
        <f t="shared" si="8"/>
        <v>Pass</v>
      </c>
    </row>
    <row r="327" spans="1:6" x14ac:dyDescent="0.3">
      <c r="A327" s="2" t="s">
        <v>15</v>
      </c>
      <c r="B327" s="2" t="s">
        <v>41</v>
      </c>
      <c r="C327" s="2" t="s">
        <v>74</v>
      </c>
      <c r="D327" s="3" t="s">
        <v>39</v>
      </c>
      <c r="E327" s="3" t="s">
        <v>39</v>
      </c>
      <c r="F327" t="str">
        <f t="shared" si="8"/>
        <v>Pass</v>
      </c>
    </row>
    <row r="328" spans="1:6" x14ac:dyDescent="0.3">
      <c r="A328" s="2" t="s">
        <v>15</v>
      </c>
      <c r="B328" s="2" t="s">
        <v>41</v>
      </c>
      <c r="C328" s="2" t="s">
        <v>73</v>
      </c>
      <c r="D328" s="2" t="s">
        <v>72</v>
      </c>
      <c r="E328" s="2" t="s">
        <v>72</v>
      </c>
      <c r="F328" t="str">
        <f t="shared" si="8"/>
        <v>Pass</v>
      </c>
    </row>
    <row r="329" spans="1:6" x14ac:dyDescent="0.3">
      <c r="A329" s="2" t="s">
        <v>15</v>
      </c>
      <c r="B329" s="2" t="s">
        <v>41</v>
      </c>
      <c r="C329" s="2" t="s">
        <v>71</v>
      </c>
      <c r="D329" s="2" t="s">
        <v>70</v>
      </c>
      <c r="E329" s="2" t="s">
        <v>70</v>
      </c>
      <c r="F329" t="str">
        <f t="shared" si="8"/>
        <v>Pass</v>
      </c>
    </row>
    <row r="330" spans="1:6" x14ac:dyDescent="0.3">
      <c r="A330" s="2" t="s">
        <v>15</v>
      </c>
      <c r="B330" s="2" t="s">
        <v>41</v>
      </c>
      <c r="C330" s="2" t="s">
        <v>69</v>
      </c>
      <c r="D330" s="5" t="s">
        <v>30</v>
      </c>
      <c r="E330" s="5" t="s">
        <v>30</v>
      </c>
      <c r="F330" t="s">
        <v>464</v>
      </c>
    </row>
    <row r="331" spans="1:6" x14ac:dyDescent="0.3">
      <c r="A331" s="2" t="s">
        <v>15</v>
      </c>
      <c r="B331" s="2" t="s">
        <v>41</v>
      </c>
      <c r="C331" s="2" t="s">
        <v>68</v>
      </c>
      <c r="D331" s="3" t="s">
        <v>67</v>
      </c>
      <c r="E331" s="3" t="s">
        <v>67</v>
      </c>
      <c r="F331" t="str">
        <f>IF(D331=E331,"Pass","Fail")</f>
        <v>Pass</v>
      </c>
    </row>
    <row r="332" spans="1:6" x14ac:dyDescent="0.3">
      <c r="A332" s="2" t="s">
        <v>15</v>
      </c>
      <c r="B332" s="2" t="s">
        <v>41</v>
      </c>
      <c r="C332" s="2" t="s">
        <v>66</v>
      </c>
      <c r="D332" s="2" t="s">
        <v>65</v>
      </c>
      <c r="E332" s="4" t="s">
        <v>16</v>
      </c>
      <c r="F332" t="str">
        <f>IF(D332=E332,"Pass","Fail")</f>
        <v>Fail</v>
      </c>
    </row>
    <row r="333" spans="1:6" x14ac:dyDescent="0.3">
      <c r="A333" s="2" t="s">
        <v>15</v>
      </c>
      <c r="B333" s="2" t="s">
        <v>41</v>
      </c>
      <c r="C333" s="2" t="s">
        <v>64</v>
      </c>
      <c r="D333" s="3" t="s">
        <v>63</v>
      </c>
      <c r="E333" s="4" t="s">
        <v>16</v>
      </c>
      <c r="F333" t="str">
        <f>IF(D333=E333,"Pass","Fail")</f>
        <v>Fail</v>
      </c>
    </row>
    <row r="334" spans="1:6" x14ac:dyDescent="0.3">
      <c r="A334" s="2" t="s">
        <v>15</v>
      </c>
      <c r="B334" s="2" t="s">
        <v>41</v>
      </c>
      <c r="C334" s="2" t="s">
        <v>62</v>
      </c>
      <c r="D334" s="5" t="s">
        <v>30</v>
      </c>
      <c r="E334" s="5" t="s">
        <v>39</v>
      </c>
      <c r="F334" t="s">
        <v>464</v>
      </c>
    </row>
    <row r="335" spans="1:6" x14ac:dyDescent="0.3">
      <c r="A335" s="2" t="s">
        <v>15</v>
      </c>
      <c r="B335" s="2" t="s">
        <v>41</v>
      </c>
      <c r="C335" s="2" t="s">
        <v>61</v>
      </c>
      <c r="D335" s="5" t="s">
        <v>30</v>
      </c>
      <c r="E335" s="5" t="s">
        <v>39</v>
      </c>
      <c r="F335" t="s">
        <v>464</v>
      </c>
    </row>
    <row r="336" spans="1:6" x14ac:dyDescent="0.3">
      <c r="A336" s="2" t="s">
        <v>15</v>
      </c>
      <c r="B336" s="2" t="s">
        <v>41</v>
      </c>
      <c r="C336" s="2" t="s">
        <v>60</v>
      </c>
      <c r="D336" s="3" t="s">
        <v>16</v>
      </c>
      <c r="E336" s="3" t="s">
        <v>16</v>
      </c>
      <c r="F336" t="str">
        <f>IF(D336=E336,"Pass","Fail")</f>
        <v>Pass</v>
      </c>
    </row>
    <row r="337" spans="1:6" x14ac:dyDescent="0.3">
      <c r="A337" s="2" t="s">
        <v>15</v>
      </c>
      <c r="B337" s="2" t="s">
        <v>41</v>
      </c>
      <c r="C337" s="2" t="s">
        <v>59</v>
      </c>
      <c r="D337" s="5" t="s">
        <v>30</v>
      </c>
      <c r="E337" s="4" t="s">
        <v>16</v>
      </c>
      <c r="F337" t="s">
        <v>464</v>
      </c>
    </row>
    <row r="338" spans="1:6" x14ac:dyDescent="0.3">
      <c r="A338" s="2" t="s">
        <v>15</v>
      </c>
      <c r="B338" s="2" t="s">
        <v>41</v>
      </c>
      <c r="C338" s="2" t="s">
        <v>58</v>
      </c>
      <c r="D338" s="3" t="s">
        <v>39</v>
      </c>
      <c r="E338" s="3" t="s">
        <v>39</v>
      </c>
      <c r="F338" t="str">
        <f>IF(D338=E338,"Pass","Fail")</f>
        <v>Pass</v>
      </c>
    </row>
    <row r="339" spans="1:6" x14ac:dyDescent="0.3">
      <c r="A339" s="2" t="s">
        <v>15</v>
      </c>
      <c r="B339" s="2" t="s">
        <v>41</v>
      </c>
      <c r="C339" s="2" t="s">
        <v>57</v>
      </c>
      <c r="D339" s="5" t="s">
        <v>30</v>
      </c>
      <c r="E339" s="5" t="s">
        <v>30</v>
      </c>
      <c r="F339" t="s">
        <v>464</v>
      </c>
    </row>
    <row r="340" spans="1:6" x14ac:dyDescent="0.3">
      <c r="A340" s="2" t="s">
        <v>15</v>
      </c>
      <c r="B340" s="2" t="s">
        <v>41</v>
      </c>
      <c r="C340" s="2" t="s">
        <v>56</v>
      </c>
      <c r="D340" s="3" t="s">
        <v>39</v>
      </c>
      <c r="E340" s="3" t="s">
        <v>39</v>
      </c>
      <c r="F340" t="str">
        <f>IF(D340=E340,"Pass","Fail")</f>
        <v>Pass</v>
      </c>
    </row>
    <row r="341" spans="1:6" x14ac:dyDescent="0.3">
      <c r="A341" s="2" t="s">
        <v>15</v>
      </c>
      <c r="B341" s="2" t="s">
        <v>41</v>
      </c>
      <c r="C341" s="2" t="s">
        <v>55</v>
      </c>
      <c r="D341" s="5" t="s">
        <v>30</v>
      </c>
      <c r="E341" s="5" t="s">
        <v>39</v>
      </c>
      <c r="F341" t="s">
        <v>464</v>
      </c>
    </row>
    <row r="342" spans="1:6" x14ac:dyDescent="0.3">
      <c r="A342" s="2" t="s">
        <v>15</v>
      </c>
      <c r="B342" s="2" t="s">
        <v>41</v>
      </c>
      <c r="C342" s="2" t="s">
        <v>54</v>
      </c>
      <c r="D342" s="5" t="s">
        <v>30</v>
      </c>
      <c r="E342" s="5" t="s">
        <v>39</v>
      </c>
      <c r="F342" t="s">
        <v>464</v>
      </c>
    </row>
    <row r="343" spans="1:6" x14ac:dyDescent="0.3">
      <c r="A343" s="2" t="s">
        <v>15</v>
      </c>
      <c r="B343" s="2" t="s">
        <v>41</v>
      </c>
      <c r="C343" s="2" t="s">
        <v>53</v>
      </c>
      <c r="D343" s="5" t="s">
        <v>30</v>
      </c>
      <c r="E343" s="5" t="s">
        <v>39</v>
      </c>
      <c r="F343" t="s">
        <v>464</v>
      </c>
    </row>
    <row r="344" spans="1:6" x14ac:dyDescent="0.3">
      <c r="A344" s="2" t="s">
        <v>15</v>
      </c>
      <c r="B344" s="2" t="s">
        <v>41</v>
      </c>
      <c r="C344" s="2" t="s">
        <v>52</v>
      </c>
      <c r="D344" s="3" t="s">
        <v>39</v>
      </c>
      <c r="E344" s="3" t="s">
        <v>39</v>
      </c>
      <c r="F344" t="str">
        <f t="shared" ref="F344:F355" si="9">IF(D344=E344,"Pass","Fail")</f>
        <v>Pass</v>
      </c>
    </row>
    <row r="345" spans="1:6" x14ac:dyDescent="0.3">
      <c r="A345" s="2" t="s">
        <v>15</v>
      </c>
      <c r="B345" s="2" t="s">
        <v>41</v>
      </c>
      <c r="C345" s="2" t="s">
        <v>51</v>
      </c>
      <c r="D345" s="2" t="s">
        <v>50</v>
      </c>
      <c r="E345" s="4" t="s">
        <v>16</v>
      </c>
      <c r="F345" t="str">
        <f t="shared" si="9"/>
        <v>Fail</v>
      </c>
    </row>
    <row r="346" spans="1:6" x14ac:dyDescent="0.3">
      <c r="A346" s="2" t="s">
        <v>15</v>
      </c>
      <c r="B346" s="2" t="s">
        <v>41</v>
      </c>
      <c r="C346" s="2" t="s">
        <v>49</v>
      </c>
      <c r="D346" s="3" t="s">
        <v>39</v>
      </c>
      <c r="E346" s="3" t="s">
        <v>39</v>
      </c>
      <c r="F346" t="str">
        <f t="shared" si="9"/>
        <v>Pass</v>
      </c>
    </row>
    <row r="347" spans="1:6" x14ac:dyDescent="0.3">
      <c r="A347" s="2" t="s">
        <v>15</v>
      </c>
      <c r="B347" s="2" t="s">
        <v>41</v>
      </c>
      <c r="C347" s="2" t="s">
        <v>48</v>
      </c>
      <c r="D347" s="2" t="s">
        <v>47</v>
      </c>
      <c r="E347" s="4" t="s">
        <v>16</v>
      </c>
      <c r="F347" t="str">
        <f t="shared" si="9"/>
        <v>Fail</v>
      </c>
    </row>
    <row r="348" spans="1:6" x14ac:dyDescent="0.3">
      <c r="A348" s="2" t="s">
        <v>15</v>
      </c>
      <c r="B348" s="2" t="s">
        <v>41</v>
      </c>
      <c r="C348" s="2" t="s">
        <v>46</v>
      </c>
      <c r="D348" s="2" t="s">
        <v>45</v>
      </c>
      <c r="E348" s="4" t="s">
        <v>16</v>
      </c>
      <c r="F348" t="str">
        <f t="shared" si="9"/>
        <v>Fail</v>
      </c>
    </row>
    <row r="349" spans="1:6" x14ac:dyDescent="0.3">
      <c r="A349" s="2" t="s">
        <v>15</v>
      </c>
      <c r="B349" s="2" t="s">
        <v>41</v>
      </c>
      <c r="C349" s="2" t="s">
        <v>44</v>
      </c>
      <c r="D349" s="3" t="s">
        <v>39</v>
      </c>
      <c r="E349" s="3" t="s">
        <v>39</v>
      </c>
      <c r="F349" t="str">
        <f t="shared" si="9"/>
        <v>Pass</v>
      </c>
    </row>
    <row r="350" spans="1:6" x14ac:dyDescent="0.3">
      <c r="A350" s="2" t="s">
        <v>15</v>
      </c>
      <c r="B350" s="2" t="s">
        <v>41</v>
      </c>
      <c r="C350" s="2" t="s">
        <v>43</v>
      </c>
      <c r="D350" s="3" t="s">
        <v>16</v>
      </c>
      <c r="E350" s="3" t="s">
        <v>16</v>
      </c>
      <c r="F350" t="str">
        <f t="shared" si="9"/>
        <v>Pass</v>
      </c>
    </row>
    <row r="351" spans="1:6" x14ac:dyDescent="0.3">
      <c r="A351" s="2" t="s">
        <v>15</v>
      </c>
      <c r="B351" s="2" t="s">
        <v>41</v>
      </c>
      <c r="C351" s="2" t="s">
        <v>42</v>
      </c>
      <c r="D351" s="3" t="s">
        <v>16</v>
      </c>
      <c r="E351" s="3" t="s">
        <v>16</v>
      </c>
      <c r="F351" t="str">
        <f t="shared" si="9"/>
        <v>Pass</v>
      </c>
    </row>
    <row r="352" spans="1:6" x14ac:dyDescent="0.3">
      <c r="A352" s="2" t="s">
        <v>15</v>
      </c>
      <c r="B352" s="2" t="s">
        <v>41</v>
      </c>
      <c r="C352" s="2" t="s">
        <v>40</v>
      </c>
      <c r="D352" s="2" t="s">
        <v>39</v>
      </c>
      <c r="E352" s="4" t="s">
        <v>16</v>
      </c>
      <c r="F352" t="str">
        <f t="shared" si="9"/>
        <v>Fail</v>
      </c>
    </row>
    <row r="353" spans="1:6" x14ac:dyDescent="0.3">
      <c r="A353" s="2" t="s">
        <v>15</v>
      </c>
      <c r="B353" s="2" t="s">
        <v>38</v>
      </c>
      <c r="C353" s="2" t="s">
        <v>37</v>
      </c>
      <c r="D353" s="2" t="s">
        <v>36</v>
      </c>
      <c r="E353" s="2" t="s">
        <v>36</v>
      </c>
      <c r="F353" t="str">
        <f t="shared" si="9"/>
        <v>Pass</v>
      </c>
    </row>
    <row r="354" spans="1:6" x14ac:dyDescent="0.3">
      <c r="A354" s="2" t="s">
        <v>15</v>
      </c>
      <c r="B354" s="2" t="s">
        <v>14</v>
      </c>
      <c r="C354" s="2" t="s">
        <v>35</v>
      </c>
      <c r="D354" s="3" t="s">
        <v>17</v>
      </c>
      <c r="E354" s="2" t="s">
        <v>17</v>
      </c>
      <c r="F354" t="str">
        <f t="shared" si="9"/>
        <v>Pass</v>
      </c>
    </row>
    <row r="355" spans="1:6" x14ac:dyDescent="0.3">
      <c r="A355" s="2" t="s">
        <v>15</v>
      </c>
      <c r="B355" s="2" t="s">
        <v>14</v>
      </c>
      <c r="C355" s="2" t="s">
        <v>34</v>
      </c>
      <c r="D355" s="2" t="s">
        <v>17</v>
      </c>
      <c r="E355" s="4" t="s">
        <v>16</v>
      </c>
      <c r="F355" t="str">
        <f t="shared" si="9"/>
        <v>Fail</v>
      </c>
    </row>
    <row r="356" spans="1:6" x14ac:dyDescent="0.3">
      <c r="A356" s="2" t="s">
        <v>15</v>
      </c>
      <c r="B356" s="2" t="s">
        <v>14</v>
      </c>
      <c r="C356" s="2" t="s">
        <v>33</v>
      </c>
      <c r="D356" s="5" t="s">
        <v>30</v>
      </c>
      <c r="E356" s="5" t="s">
        <v>32</v>
      </c>
      <c r="F356" t="s">
        <v>464</v>
      </c>
    </row>
    <row r="357" spans="1:6" x14ac:dyDescent="0.3">
      <c r="A357" s="2" t="s">
        <v>15</v>
      </c>
      <c r="B357" s="2" t="s">
        <v>14</v>
      </c>
      <c r="C357" s="2" t="s">
        <v>31</v>
      </c>
      <c r="D357" s="5" t="s">
        <v>30</v>
      </c>
      <c r="E357" s="5" t="s">
        <v>12</v>
      </c>
      <c r="F357" t="s">
        <v>464</v>
      </c>
    </row>
    <row r="358" spans="1:6" x14ac:dyDescent="0.3">
      <c r="A358" s="2" t="s">
        <v>15</v>
      </c>
      <c r="B358" s="2" t="s">
        <v>14</v>
      </c>
      <c r="C358" s="2" t="s">
        <v>29</v>
      </c>
      <c r="D358" s="3" t="s">
        <v>17</v>
      </c>
      <c r="E358" s="3" t="s">
        <v>17</v>
      </c>
      <c r="F358" t="str">
        <f t="shared" ref="F358:F365" si="10">IF(D358=E358,"Pass","Fail")</f>
        <v>Pass</v>
      </c>
    </row>
    <row r="359" spans="1:6" x14ac:dyDescent="0.3">
      <c r="A359" s="2" t="s">
        <v>15</v>
      </c>
      <c r="B359" s="2" t="s">
        <v>14</v>
      </c>
      <c r="C359" s="2" t="s">
        <v>28</v>
      </c>
      <c r="D359" s="2" t="s">
        <v>27</v>
      </c>
      <c r="E359" s="4" t="s">
        <v>16</v>
      </c>
      <c r="F359" t="str">
        <f t="shared" si="10"/>
        <v>Fail</v>
      </c>
    </row>
    <row r="360" spans="1:6" x14ac:dyDescent="0.3">
      <c r="A360" s="2" t="s">
        <v>15</v>
      </c>
      <c r="B360" s="2" t="s">
        <v>14</v>
      </c>
      <c r="C360" s="2" t="s">
        <v>26</v>
      </c>
      <c r="D360" s="2" t="s">
        <v>25</v>
      </c>
      <c r="E360" s="4" t="s">
        <v>16</v>
      </c>
      <c r="F360" t="str">
        <f t="shared" si="10"/>
        <v>Fail</v>
      </c>
    </row>
    <row r="361" spans="1:6" x14ac:dyDescent="0.3">
      <c r="A361" s="2" t="s">
        <v>15</v>
      </c>
      <c r="B361" s="2" t="s">
        <v>14</v>
      </c>
      <c r="C361" s="2" t="s">
        <v>24</v>
      </c>
      <c r="D361" s="2" t="s">
        <v>23</v>
      </c>
      <c r="E361" s="2" t="s">
        <v>23</v>
      </c>
      <c r="F361" t="str">
        <f t="shared" si="10"/>
        <v>Pass</v>
      </c>
    </row>
    <row r="362" spans="1:6" x14ac:dyDescent="0.3">
      <c r="A362" s="2" t="s">
        <v>15</v>
      </c>
      <c r="B362" s="2" t="s">
        <v>14</v>
      </c>
      <c r="C362" s="2" t="s">
        <v>22</v>
      </c>
      <c r="D362" s="3" t="s">
        <v>21</v>
      </c>
      <c r="E362" s="2" t="s">
        <v>21</v>
      </c>
      <c r="F362" t="str">
        <f t="shared" si="10"/>
        <v>Pass</v>
      </c>
    </row>
    <row r="363" spans="1:6" x14ac:dyDescent="0.3">
      <c r="A363" s="2" t="s">
        <v>15</v>
      </c>
      <c r="B363" s="2" t="s">
        <v>14</v>
      </c>
      <c r="C363" s="2" t="s">
        <v>20</v>
      </c>
      <c r="D363" s="3" t="s">
        <v>19</v>
      </c>
      <c r="E363" s="2" t="s">
        <v>19</v>
      </c>
      <c r="F363" t="str">
        <f t="shared" si="10"/>
        <v>Pass</v>
      </c>
    </row>
    <row r="364" spans="1:6" x14ac:dyDescent="0.3">
      <c r="A364" s="2" t="s">
        <v>15</v>
      </c>
      <c r="B364" s="2" t="s">
        <v>14</v>
      </c>
      <c r="C364" s="2" t="s">
        <v>18</v>
      </c>
      <c r="D364" s="2" t="s">
        <v>17</v>
      </c>
      <c r="E364" s="4" t="s">
        <v>16</v>
      </c>
      <c r="F364" t="str">
        <f t="shared" si="10"/>
        <v>Fail</v>
      </c>
    </row>
    <row r="365" spans="1:6" x14ac:dyDescent="0.3">
      <c r="A365" s="2" t="s">
        <v>15</v>
      </c>
      <c r="B365" s="2" t="s">
        <v>14</v>
      </c>
      <c r="C365" s="2" t="s">
        <v>13</v>
      </c>
      <c r="D365" s="3" t="s">
        <v>12</v>
      </c>
      <c r="E365" s="2" t="s">
        <v>12</v>
      </c>
      <c r="F365" t="str">
        <f t="shared" si="10"/>
        <v>Pass</v>
      </c>
    </row>
  </sheetData>
  <autoFilter ref="A1:E365" xr:uid="{4C06BDA4-D261-46C3-88C7-655B99B68B29}"/>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Gap Analysis Matrix</vt:lpstr>
      <vt:lpstr>POA&amp;M</vt:lpstr>
      <vt:lpstr>Policy Analyzer Scan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2026-09-04T13:52:33Z</dcterms:created>
  <dcterms:modified xsi:type="dcterms:W3CDTF">2026-09-05T15:39:04Z</dcterms:modified>
</cp:coreProperties>
</file>